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4c7c200bdf4a12" /></Relationships>
</file>

<file path=xl/workbook.xml><?xml version="1.0" encoding="utf-8"?>
<x:workbook xmlns:x="http://schemas.openxmlformats.org/spreadsheetml/2006/main">
  <x:sheets>
    <x:sheet xmlns:r="http://schemas.openxmlformats.org/officeDocument/2006/relationships" name="Monthly evidence" sheetId="1" r:id="R1543c7b8432244b1"/>
    <x:sheet xmlns:r="http://schemas.openxmlformats.org/officeDocument/2006/relationships" name="Sources and notes" sheetId="2" r:id="R2ed2d812fd82408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
  </x:numFmts>
  <x:fonts count="13">
    <x:font>
      <x:sz val="11"/>
      <x:name val="Carlito"/>
    </x:font>
    <x:font>
      <x:sz val="11"/>
      <x:color rgb="FF203441"/>
      <x:name val="Arial"/>
    </x:font>
    <x:font>
      <x:b/>
      <x:sz val="17"/>
      <x:color rgb="FF16364A"/>
      <x:name val="Arial"/>
    </x:font>
    <x:font>
      <x:i/>
      <x:sz val="11"/>
      <x:color rgb="FF526B79"/>
      <x:name val="Arial"/>
    </x:font>
    <x:font>
      <x:sz val="11"/>
      <x:color rgb="FF526B79"/>
      <x:name val="Arial"/>
    </x:font>
    <x:font>
      <x:b/>
      <x:sz val="11"/>
      <x:color rgb="FFFFFFFF"/>
      <x:name val="Arial"/>
    </x:font>
    <x:font>
      <x:b/>
      <x:sz val="11"/>
      <x:color rgb="FF16364A"/>
      <x:name val="Arial"/>
    </x:font>
    <x:font>
      <x:u val="single"/>
      <x:sz val="11"/>
      <x:color rgb="FF12618A"/>
      <x:name val="Arial"/>
    </x:font>
    <x:font>
      <x:sz val="11"/>
      <x:color rgb="FF7A4C00"/>
      <x:name val="Arial"/>
    </x:font>
    <x:font>
      <x:b/>
      <x:sz val="11"/>
      <x:color rgb="FF7A4C00"/>
      <x:name val="Arial"/>
    </x:font>
    <x:font>
      <x:u val="single"/>
      <x:sz val="11"/>
      <x:color rgb="FF7A4C00"/>
      <x:name val="Arial"/>
    </x:font>
    <x:font>
      <x:u val="single"/>
      <x:sz val="11"/>
      <x:color rgb="FF526B79"/>
      <x:name val="Arial"/>
    </x:font>
    <x:font>
      <x:u val="none"/>
      <x:sz val="11"/>
      <x:color rgb="FF526B79"/>
      <x:name val="Arial"/>
    </x:font>
  </x:fonts>
  <x:fills count="9">
    <x:fill>
      <x:patternFill patternType="none"/>
    </x:fill>
    <x:fill>
      <x:patternFill patternType="gray125"/>
    </x:fill>
    <x:fill>
      <x:patternFill patternType="solid">
        <x:fgColor rgb="FF16364A"/>
      </x:patternFill>
    </x:fill>
    <x:fill>
      <x:patternFill patternType="solid">
        <x:fgColor rgb="FFFFFFFF"/>
      </x:patternFill>
    </x:fill>
    <x:fill>
      <x:patternFill patternType="solid">
        <x:fgColor rgb="FFF0F5F7"/>
      </x:patternFill>
    </x:fill>
    <x:fill>
      <x:patternFill patternType="solid">
        <x:fgColor rgb="FFFFF3D6"/>
      </x:patternFill>
    </x:fill>
    <x:fill>
      <x:patternFill patternType="solid">
        <x:fgColor rgb="FFFFFFFF"/>
      </x:patternFill>
    </x:fill>
    <x:fill>
      <x:patternFill patternType="solid">
        <x:fgColor rgb="FFF0F5F7"/>
      </x:patternFill>
    </x:fill>
    <x:fill>
      <x:patternFill patternType="solid">
        <x:fgColor rgb="FFFFF3D6"/>
      </x:patternFill>
    </x:fill>
  </x:fills>
  <x:borders count="6">
    <x:border>
      <x:left/>
      <x:right/>
      <x:top/>
      <x:bottom/>
      <x:diagonal/>
    </x:border>
    <x:border>
      <x:left/>
      <x:right/>
      <x:top/>
      <x:bottom style="thin">
        <x:color rgb="FFA8BAC5"/>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CE5EA"/>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5" fillId="2" borderId="0"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2" xfId="0" applyNumberFormat="1" applyFont="1" applyFill="1" applyBorder="1" applyAlignment="1">
      <x:alignment horizontal="center" wrapText="1"/>
    </x:xf>
    <x:xf numFmtId="0" fontId="5" fillId="2" borderId="3" xfId="0" applyNumberFormat="1" applyFont="1" applyFill="1" applyBorder="1" applyAlignment="1">
      <x:alignment horizontal="center" wrapText="1"/>
    </x:xf>
    <x:xf numFmtId="0" fontId="5" fillId="2" borderId="4" xfId="0" applyNumberFormat="1" applyFont="1" applyFill="1" applyBorder="1" applyAlignment="1">
      <x:alignment horizont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5" xfId="0" applyNumberFormat="1" applyFont="1" applyFill="1" applyBorder="1" applyAlignment="1">
      <x:alignment vertical="top" wrapText="1"/>
    </x:xf>
    <x:xf numFmtId="200" fontId="1" fillId="3" borderId="5" xfId="0" applyNumberFormat="1" applyFont="1" applyFill="1" applyBorder="1" applyAlignment="1">
      <x:alignment vertical="top" wrapText="1"/>
    </x:xf>
    <x:xf numFmtId="200" fontId="1" fillId="4" borderId="5" xfId="0" applyNumberFormat="1" applyFont="1" applyFill="1" applyBorder="1" applyAlignment="1">
      <x:alignment vertical="top" wrapText="1"/>
    </x:xf>
    <x:xf numFmtId="200" fontId="6" fillId="3" borderId="5" xfId="0" applyNumberFormat="1" applyFont="1" applyFill="1" applyBorder="1" applyAlignment="1">
      <x:alignment vertical="top" wrapText="1"/>
    </x:xf>
    <x:xf numFmtId="200" fontId="6" fillId="4" borderId="5" xfId="0" applyNumberFormat="1" applyFont="1" applyFill="1" applyBorder="1" applyAlignment="1">
      <x:alignment vertical="top" wrapText="1"/>
    </x:xf>
    <x:xf numFmtId="0" fontId="7" fillId="3" borderId="5" xfId="0" applyNumberFormat="1" applyFont="1" applyFill="1" applyBorder="1" applyAlignment="1">
      <x:alignment vertical="top" wrapText="1"/>
    </x:xf>
    <x:xf numFmtId="0" fontId="7" fillId="4" borderId="5" xfId="0" applyNumberFormat="1" applyFont="1" applyFill="1" applyBorder="1" applyAlignment="1">
      <x:alignment vertical="top" wrapText="1"/>
    </x:xf>
    <x:xf numFmtId="200" fontId="6" fillId="5" borderId="5" xfId="0" applyNumberFormat="1" applyFont="1" applyFill="1" applyBorder="1" applyAlignment="1">
      <x:alignment vertical="top" wrapText="1"/>
    </x:xf>
    <x:xf numFmtId="0" fontId="7" fillId="5" borderId="5"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8" fillId="5" borderId="5" xfId="0" applyNumberFormat="1" applyFont="1" applyFill="1" applyBorder="1" applyAlignment="1">
      <x:alignment vertical="top" wrapText="1"/>
    </x:xf>
    <x:xf numFmtId="0" fontId="6" fillId="3" borderId="5"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6" fillId="5" borderId="5" xfId="0" applyNumberFormat="1" applyFont="1" applyFill="1" applyBorder="1" applyAlignment="1">
      <x:alignment vertical="top" wrapText="1"/>
    </x:xf>
    <x:xf numFmtId="200" fontId="6" fillId="6" borderId="5"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1" fillId="6" borderId="5" xfId="0" applyNumberFormat="1" applyFont="1" applyFill="1" applyBorder="1" applyAlignment="1">
      <x:alignment vertical="top" wrapText="1"/>
    </x:xf>
    <x:xf numFmtId="200" fontId="6" fillId="7" borderId="5"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200" fontId="6" fillId="8" borderId="5" xfId="0" applyNumberFormat="1" applyFont="1" applyFill="1" applyBorder="1" applyAlignment="1">
      <x:alignment vertical="top" wrapText="1"/>
    </x:xf>
    <x:xf numFmtId="0" fontId="7" fillId="8" borderId="5" xfId="0" applyNumberFormat="1" applyFont="1" applyFill="1" applyBorder="1" applyAlignment="1">
      <x:alignment vertical="top" wrapText="1"/>
    </x:xf>
    <x:xf numFmtId="0" fontId="1" fillId="8" borderId="5" xfId="0" applyNumberFormat="1" applyFont="1" applyFill="1" applyBorder="1" applyAlignment="1">
      <x:alignment vertical="top" wrapText="1"/>
    </x:xf>
    <x:xf numFmtId="200" fontId="9" fillId="8" borderId="5" xfId="0" applyNumberFormat="1" applyFont="1" applyFill="1" applyBorder="1" applyAlignment="1">
      <x:alignment vertical="top" wrapText="1"/>
    </x:xf>
    <x:xf numFmtId="0" fontId="10" fillId="8" borderId="5"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6" fillId="8" borderId="5" xfId="0" applyNumberFormat="1" applyFont="1" applyFill="1" applyBorder="1" applyAlignment="1">
      <x:alignment vertical="top" wrapText="1"/>
    </x:xf>
    <x:xf numFmtId="0" fontId="9" fillId="8" borderId="5" xfId="0" applyNumberFormat="1" applyFont="1" applyFill="1" applyBorder="1" applyAlignment="1">
      <x:alignment vertical="top" wrapText="1"/>
    </x:xf>
    <x:xf numFmtId="0" fontId="11" fillId="6" borderId="5" xfId="0" applyNumberFormat="1" applyFont="1" applyFill="1" applyBorder="1" applyAlignment="1">
      <x:alignment vertical="top" wrapText="1"/>
    </x:xf>
    <x:xf numFmtId="0" fontId="12" fillId="6" borderId="5" xfId="0" applyNumberFormat="1" applyFont="1" applyFill="1" applyBorder="1" applyAlignment="1">
      <x:alignment vertical="top" wrapText="1"/>
    </x:xf>
    <x:xf numFmtId="0" fontId="11" fillId="7" borderId="5" xfId="0" applyNumberFormat="1" applyFont="1" applyFill="1" applyBorder="1" applyAlignment="1">
      <x:alignment vertical="top" wrapText="1"/>
    </x:xf>
    <x:xf numFmtId="0" fontId="12" fillId="7" borderId="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09ebc9ec354cb5" /><Relationship Type="http://schemas.openxmlformats.org/officeDocument/2006/relationships/theme" Target="/xl/theme/theme1.xml" Id="Rd1357198de4743a7" /><Relationship Type="http://schemas.openxmlformats.org/officeDocument/2006/relationships/sharedStrings" Target="/xl/sharedStrings.xml" Id="R0304211016294cd6" /><Relationship Type="http://schemas.openxmlformats.org/officeDocument/2006/relationships/worksheet" Target="/xl/worksheets/sheet1.xml" Id="R1543c7b8432244b1" /><Relationship Type="http://schemas.openxmlformats.org/officeDocument/2006/relationships/worksheet" Target="/xl/worksheets/sheet2.xml" Id="R2ed2d812fd824088" /></Relationships>
</file>

<file path=xl/tables/table1.xml><?xml version="1.0" encoding="utf-8"?>
<x:table xmlns:x="http://schemas.openxmlformats.org/spreadsheetml/2006/main" id="1" name="FWC_Evidence" displayName="FWC_Evidence" ref="A6:F35" headerRowCount="1" totalsRowCount="0" totalsRowShown="0">
  <x:tableColumns count="6">
    <x:tableColumn id="1" name="Month"/>
    <x:tableColumn id="2" name="Link to FWC report"/>
    <x:tableColumn id="3" name="Bloom characterization and geographic location"/>
    <x:tableColumn id="4" name="Concentration levels"/>
    <x:tableColumn id="5" name="Fish kills reported"/>
    <x:tableColumn id="6" name="Respiratory irritation report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05db1b6f70a446a" /></Relationships>
</file>

<file path=xl/worksheets/sheet1.xml><?xml version="1.0" encoding="utf-8"?>
<x:worksheet xmlns:x="http://schemas.openxmlformats.org/spreadsheetml/2006/main">
  <x:sheetPr>
    <x:tabColor rgb="FF16364A"/>
  </x:sheetPr>
  <x:sheetViews>
    <x:sheetView showGridLines="0" workbookViewId="0">
      <x:pane ySplit="6" topLeftCell="A7" activePane="bottomLeft" state="frozen"/>
    </x:sheetView>
  </x:sheetViews>
  <x:sheetFormatPr defaultRowHeight="15"/>
  <x:cols>
    <x:col min="1" max="1" width="10.220000267028809" hidden="0" customWidth="1"/>
    <x:col min="2" max="2" width="24.440000534057617" hidden="0" customWidth="1"/>
    <x:col min="3" max="3" width="37.779998779296875" hidden="0" customWidth="1"/>
    <x:col min="4" max="4" width="41.66999816894531" hidden="0" customWidth="1"/>
    <x:col min="5" max="5" width="38.88999938964844" hidden="0" customWidth="1"/>
    <x:col min="6" max="6" width="36.66999816894531" hidden="0" customWidth="1"/>
  </x:cols>
  <x:sheetData>
    <x:row r="1" ht="12" customHeight="1">
      <x:c r="A1" s="1"/>
      <x:c r="B1" s="1"/>
      <x:c r="C1" s="1"/>
      <x:c r="D1" s="1"/>
      <x:c r="E1" s="1"/>
      <x:c r="F1" s="1"/>
    </x:row>
    <x:row r="2" ht="27" customHeight="1">
      <x:c r="A2" s="2" t="str">
        <x:v>FWC red tide evidence | 17 requested months</x:v>
      </x:c>
      <x:c r="B2" s="1"/>
      <x:c r="C2" s="1"/>
      <x:c r="D2" s="1"/>
      <x:c r="E2" s="1"/>
      <x:c r="F2" s="1"/>
    </x:row>
    <x:row r="3" ht="22" customHeight="1">
      <x:c r="A3" s="3" t="str">
        <x:v>28 dated reports or summaries across 16 months · 16 direct FWC bulletins · April 2013 remains unverified</x:v>
      </x:c>
      <x:c r="B3" s="1"/>
      <x:c r="C3" s="1"/>
      <x:c r="D3" s="1"/>
      <x:c r="E3" s="1"/>
      <x:c r="F3" s="1"/>
    </x:row>
    <x:row r="4" ht="22" customHeight="1">
      <x:c r="A4" s="4" t="str">
        <x:v>Updated 2026-10-16. One row per report date; repeated months are intentional. Overlapping weekly reports are not independent counts. See Sources and notes for provenance and limitations.</x:v>
      </x:c>
      <x:c r="B4" s="1"/>
      <x:c r="C4" s="1"/>
      <x:c r="D4" s="1"/>
      <x:c r="E4" s="1"/>
      <x:c r="F4" s="1"/>
    </x:row>
    <x:row r="5" ht="8" customHeight="1">
      <x:c r="A5" s="5"/>
      <x:c r="B5" s="5"/>
      <x:c r="C5" s="5"/>
      <x:c r="D5" s="5"/>
      <x:c r="E5" s="5"/>
      <x:c r="F5" s="5"/>
    </x:row>
    <x:row r="6" ht="44" customHeight="1">
      <x:c r="A6" s="17" t="str">
        <x:v>Month</x:v>
      </x:c>
      <x:c r="B6" s="18" t="str">
        <x:v>Link to FWC report</x:v>
      </x:c>
      <x:c r="C6" s="18" t="str">
        <x:v>Bloom characterization and geographic location</x:v>
      </x:c>
      <x:c r="D6" s="18" t="str">
        <x:v>Concentration levels</x:v>
      </x:c>
      <x:c r="E6" s="18" t="str">
        <x:v>Fish kills reported</x:v>
      </x:c>
      <x:c r="F6" s="19" t="str">
        <x:v>Respiratory irritation reported</x:v>
      </x:c>
    </x:row>
    <x:row r="7" ht="84" customHeight="1">
      <x:c r="A7" s="39" t="d">
        <x:v>2012-03-01T00:00:00.000Z</x:v>
      </x:c>
      <x:c r="B7" s="40" t="str">
        <x:f>IFERROR(HYPERLINK("https://start1.org/red-tide-status/03-23-12/","2012-03-23 · START reproduction"),"2012-03-23 · START reproduction")</x:f>
        <x:v>2012-03-23 · START reproduction</x:v>
      </x:c>
      <x:c r="C7" s="41" t="str">
        <x:v>“was not detected … alongshore of Pinellas, Hillsborough, Manatee, Sarasota and Charlotte counties or alongshore of the Florida Keys”</x:v>
      </x:c>
      <x:c r="D7" s="41" t="str">
        <x:v>Lee: background (1 sample). Collier: background (1). Not detected in sampled waters of Pinellas, Hillsborough, Manatee, Sarasota, Charlotte or the Florida Keys.</x:v>
      </x:c>
      <x:c r="E7" s="41" t="str">
        <x:v>Not stated in the retrieved reproduction.</x:v>
      </x:c>
      <x:c r="F7" s="41" t="str">
        <x:v>Not stated in the retrieved reproduction.</x:v>
      </x:c>
    </x:row>
    <x:row r="8" ht="108" customHeight="1">
      <x:c r="A8" s="42" t="d">
        <x:v>2013-03-01T00:00:00.000Z</x:v>
      </x:c>
      <x:c r="B8" s="43" t="str">
        <x:f>IFERROR(HYPERLINK("https://flylifemagazine.com/environment-red-tide-persists-along-sw-coast-of-florida/","2013-03-11 · Fly Life reproduction"),"2013-03-11 · Fly Life reproduction")</x:f>
        <x:v>2013-03-11 · Fly Life reproduction</x:v>
      </x:c>
      <x:c r="C8" s="44" t="str">
        <x:v>“bloom of Karenia brevis, the Florida red tide organism, persists in some parts of southwest Florida”
Extent summarized: about 70 coastal miles, Sarasota through central Lee; highest concentrations along Charlotte and offshore Lee.</x:v>
      </x:c>
      <x:c r="D8" s="44" t="str">
        <x:v>Sarasota, alongshore/inshore: very low–medium, patchy. Pine Island Sound (Lee): very low–low. Charlotte alongshore and Lee offshore: highest concentrations, but no category or number specified for those maxima.</x:v>
      </x:c>
      <x:c r="E8" s="44" t="str">
        <x:v>Not stated in the retrieved reproduction.</x:v>
      </x:c>
      <x:c r="F8" s="44" t="str">
        <x:v>Not stated in the retrieved reproduction.</x:v>
      </x:c>
    </x:row>
    <x:row r="9" ht="84" customHeight="1">
      <x:c r="A9" s="48" t="d">
        <x:v>2013-04-01T00:00:00.000Z</x:v>
      </x:c>
      <x:c r="B9" s="46" t="str">
        <x:f>IFERROR(HYPERLINK("https://www.flickr.com/photos/myfwc/9678637547/","FWC April 2013 map · narrative unavailable"),"FWC April 2013 map · narrative unavailable")</x:f>
        <x:v>FWC April 2013 map · narrative unavailable</x:v>
      </x:c>
      <x:c r="C9" s="50" t="str">
        <x:v>NOT VERIFIED: no April 2013 FWC narrative report retrieved. The official monthly-map page was located, but it supplies no narrative characterization to quote.</x:v>
      </x:c>
      <x:c r="D9" s="50" t="str">
        <x:v>Not verified from retrieved text. The map image could not be inspected, so no concentration categories or locations were transcribed.</x:v>
      </x:c>
      <x:c r="E9" s="50" t="str">
        <x:v>Not verified: narrative report unavailable.</x:v>
      </x:c>
      <x:c r="F9" s="50" t="str">
        <x:v>Not verified: narrative report unavailable.</x:v>
      </x:c>
    </x:row>
    <x:row r="10" ht="84" customHeight="1">
      <x:c r="A10" s="42" t="d">
        <x:v>2013-10-01T00:00:00.000Z</x:v>
      </x:c>
      <x:c r="B10" s="43" t="str">
        <x:f>IFERROR(HYPERLINK("https://start1.org/red-tide-status/red-tide-update-october-11-2013/","2013-10-11 · START reproduction"),"2013-10-11 · START reproduction")</x:f>
        <x:v>2013-10-11 · START reproduction</x:v>
      </x:c>
      <x:c r="C10" s="44" t="str">
        <x:v>“ranging from background to low concentrations … in, along and offshore of Pinellas County south to Lee County.”</x:v>
      </x:c>
      <x:c r="D10" s="44" t="str">
        <x:v>Pinellas south to Lee: background–low across several inshore, coastal and offshore locations. No county-specific breakdown in the reproduction. Other Florida samples were negative for K. brevis.</x:v>
      </x:c>
      <x:c r="E10" s="44" t="str">
        <x:v>Not stated for Southwest Florida. The reproduction mentions fish kills in the Indian River Lagoon associated with other algal taxa; those are outside this table's scope.</x:v>
      </x:c>
      <x:c r="F10" s="44" t="str">
        <x:v>Not stated in the retrieved reproduction.</x:v>
      </x:c>
    </x:row>
    <x:row r="11" ht="84" customHeight="1">
      <x:c r="A11" s="39" t="d">
        <x:v>2016-03-01T00:00:00.000Z</x:v>
      </x:c>
      <x:c r="B11" s="40" t="str">
        <x:f>IFERROR(HYPERLINK("https://content.govdelivery.com/accounts/FLFFWCC/bulletins/13c52be","2016-03-11 · FWC bulletin"),"2016-03-11 · FWC bulletin")</x:f>
        <x:v>2016-03-11 · FWC bulletin</x:v>
      </x:c>
      <x:c r="C11" s="41" t="str">
        <x:v>“persists in background to low concentrations … in Southwest Florida.”</x:v>
      </x:c>
      <x:c r="D11" s="41" t="str">
        <x:v>Southwest Florida: background–low across several areas; no county-level concentration breakdown in the bulletin. Separate Northwest Florida observations are excluded here.</x:v>
      </x:c>
      <x:c r="E11" s="41" t="str">
        <x:v>“Fish kills have been reported … between southern Collier County and northern Monroe County”</x:v>
      </x:c>
      <x:c r="F11" s="41" t="str">
        <x:v>Not stated in the bulletin.</x:v>
      </x:c>
    </x:row>
    <x:row r="12" ht="94" customHeight="1">
      <x:c r="A12" s="42" t="d">
        <x:v>2016-04-01T00:00:00.000Z</x:v>
      </x:c>
      <x:c r="B12" s="43" t="str">
        <x:f>IFERROR(HYPERLINK("https://start1.org/red-tide-status/red-tide-status-report-april-1-2016/","2016-04-01 · START reproduction"),"2016-04-01 · START reproduction")</x:f>
        <x:v>2016-04-01 · START reproduction</x:v>
      </x:c>
      <x:c r="C12" s="44" t="str">
        <x:v>“A patchy bloom … is present along Pinellas, Manatee, Sarasota, Charlotte, and Lee counties in southwest Florida.”</x:v>
      </x:c>
      <x:c r="D12" s="44" t="str">
        <x:v>Pinellas, in/alongshore: background–medium (5 samples); Manatee, in/offshore: background–very low (5); Sarasota, in/alongshore: background–very low (8); Charlotte, in/alongshore: low (2); Lee, in/alongshore: background–medium (16).</x:v>
      </x:c>
      <x:c r="E12" s="44" t="str">
        <x:v>Not stated in the retrieved reproduction.</x:v>
      </x:c>
      <x:c r="F12" s="44" t="str">
        <x:v>Not stated in the retrieved reproduction.</x:v>
      </x:c>
    </x:row>
    <x:row r="13" ht="84" customHeight="1">
      <x:c r="A13" s="39" t="d">
        <x:v>2016-04-01T00:00:00.000Z</x:v>
      </x:c>
      <x:c r="B13" s="40" t="str">
        <x:f>IFERROR(HYPERLINK("https://content.govdelivery.com/accounts/FLFFWCC/bulletins/1465a5f","2016-04-29 · FWC bulletin"),"2016-04-29 · FWC bulletin")</x:f>
        <x:v>2016-04-29 · FWC bulletin</x:v>
      </x:c>
      <x:c r="C13" s="41" t="str">
        <x:v>“A bloom … persists along Pinellas, Manatee, Sarasota, Charlotte, and northern Lee counties in Southwest Florida.”</x:v>
      </x:c>
      <x:c r="D13" s="41" t="str">
        <x:v>April 29 reproduction: Pinellas background–very low (4 samples); Manatee background–low (6); Sarasota background–low (32); Charlotte background–low (9); northern Lee very low (2). See supplemental source in Sources and notes.</x:v>
      </x:c>
      <x:c r="E13" s="41" t="str">
        <x:v>“No fish kills were reported”
This statement applies to Southwest Florida over the preceding week.</x:v>
      </x:c>
      <x:c r="F13" s="41" t="str">
        <x:v>Not stated in the bulletin or same-date reproduction.</x:v>
      </x:c>
    </x:row>
    <x:row r="14" ht="84" customHeight="1">
      <x:c r="A14" s="42" t="d">
        <x:v>2017-01-01T00:00:00.000Z</x:v>
      </x:c>
      <x:c r="B14" s="43" t="str">
        <x:f>IFERROR(HYPERLINK("https://content.govdelivery.com/accounts/FLFFWCC/bulletins/181cb1c?reqfrom=share","2017-01-20 · FWC bulletin"),"2017-01-20 · FWC bulletin")</x:f>
        <x:v>2017-01-20 · FWC bulletin</x:v>
      </x:c>
      <x:c r="C14" s="44" t="str">
        <x:v>“A bloom … with patches observed from Pinellas to Lee counties.”</x:v>
      </x:c>
      <x:c r="D14" s="44" t="str">
        <x:v>Pinellas background–low (9 samples); Hillsborough background–medium (5); Manatee background–medium (20); Sarasota background–high (30); Charlotte background (4); Lee background–very low (5).</x:v>
      </x:c>
      <x:c r="E14" s="44" t="str">
        <x:v>“Fish kills were reported … Pinellas County … Lee County … Manatee and Sarasota counties”
Dates summarized: Pinellas Jan 12, 13, 15, 17; Lee Jan 13; Manatee and Sarasota Jan 19.</x:v>
      </x:c>
      <x:c r="F14" s="44" t="str">
        <x:v>Yes—Lee on January 13; Manatee and Sarasota on January 19.</x:v>
      </x:c>
    </x:row>
    <x:row r="15" ht="84" customHeight="1">
      <x:c r="A15" s="39" t="d">
        <x:v>2017-02-01T00:00:00.000Z</x:v>
      </x:c>
      <x:c r="B15" s="40" t="str">
        <x:f>IFERROR(HYPERLINK("https://content.govdelivery.com/accounts/FLFFWCC/bulletins/18681fd?reqfrom=share","Sent 2017-02-10 · title says 2.7.17"),"Sent 2017-02-10 · title says 2.7.17")</x:f>
        <x:v>Sent 2017-02-10 · title says 2.7.17</x:v>
      </x:c>
      <x:c r="C15" s="41" t="str">
        <x:v>“A bloom … persists in Southwest Florida from southern Pinellas to Lee counties.”</x:v>
      </x:c>
      <x:c r="D15" s="41" t="str">
        <x:v>Pinellas background–very low (2 samples); Manatee background–medium (9); Sarasota background–high (28); Charlotte background–medium (5); Lee background–high (12); Collier background (1).</x:v>
      </x:c>
      <x:c r="E15" s="41" t="str">
        <x:v>“Fish kills were reported … (Sarasota County), and Bonita Beach (Lee County)”
Sarasota sites summarized: Siesta Key, Siesta Beach and Nokomis.</x:v>
      </x:c>
      <x:c r="F15" s="41" t="str">
        <x:v>Yes—Lido Beach, Sarasota County, during the preceding week.</x:v>
      </x:c>
    </x:row>
    <x:row r="16" ht="84" customHeight="1">
      <x:c r="A16" s="42" t="d">
        <x:v>2017-02-01T00:00:00.000Z</x:v>
      </x:c>
      <x:c r="B16" s="43" t="str">
        <x:f>IFERROR(HYPERLINK("https://start1.org/red-tide-status/red-tide-status-report-february-24-2017/","2017-02-24 · START reproduction"),"2017-02-24 · START reproduction")</x:f>
        <x:v>2017-02-24 · START reproduction</x:v>
      </x:c>
      <x:c r="C16" s="44" t="str">
        <x:v>“A bloom … persists in Southwest Florida from southern Pinellas to Collier counties.”</x:v>
      </x:c>
      <x:c r="D16" s="44" t="str">
        <x:v>Pinellas very low–medium (5 samples); Manatee very low–medium (11); Sarasota low–medium (26); Charlotte background–high (13); Lee background–low (16); Collier very low–medium (5).</x:v>
      </x:c>
      <x:c r="E16" s="44" t="str">
        <x:v>“Fish kills have been reported”
Sites summarized: Manasota Beach, Bonita Beach (Lee) and Marco Island (Collier) during the preceding week.</x:v>
      </x:c>
      <x:c r="F16" s="44" t="str">
        <x:v>Yes—Coquina Beach (Manatee); Lido Key, Siesta Key, Venice North Jetty and Venice Beach (Sarasota); Manasota Beach; Naples Pier and South Marco Beach (Collier).</x:v>
      </x:c>
    </x:row>
    <x:row r="17" ht="84" customHeight="1">
      <x:c r="A17" s="39" t="d">
        <x:v>2017-03-01T00:00:00.000Z</x:v>
      </x:c>
      <x:c r="B17" s="40" t="str">
        <x:f>IFERROR(HYPERLINK("https://content.govdelivery.com/accounts/FLFFWCC/bulletins/18c8f3e","2017-03-10 · FWC bulletin"),"2017-03-10 · FWC bulletin")</x:f>
        <x:v>2017-03-10 · FWC bulletin</x:v>
      </x:c>
      <x:c r="C17" s="41" t="str">
        <x:v>“A bloom … persists in Southwest Florida from southern Pinellas to Lee counties.”</x:v>
      </x:c>
      <x:c r="D17" s="41" t="str">
        <x:v>Pinellas very low–low (4 samples); Manatee background–low (8); Sarasota background–medium (29); Charlotte very low–low (2); Lee background–low (6); Collier background (1).</x:v>
      </x:c>
      <x:c r="E17" s="41" t="str">
        <x:v>“A small fish kill was reported 3/7 at Coquina Beach (Manatee County).”</x:v>
      </x:c>
      <x:c r="F17" s="41" t="str">
        <x:v>Yes—Nokomis, Manasota Beach and Captiva during the preceding week.</x:v>
      </x:c>
    </x:row>
    <x:row r="18" ht="84" customHeight="1">
      <x:c r="A18" s="42" t="d">
        <x:v>2017-03-01T00:00:00.000Z</x:v>
      </x:c>
      <x:c r="B18" s="43" t="str">
        <x:f>IFERROR(HYPERLINK("https://content.govdelivery.com/accounts/FLFFWCC/bulletins/18e2c89","2017-03-17 · FWC bulletin"),"2017-03-17 · FWC bulletin")</x:f>
        <x:v>2017-03-17 · FWC bulletin</x:v>
      </x:c>
      <x:c r="C18" s="44" t="str">
        <x:v>“A patchy bloom of the Florida red tide organism, Karenia brevis, persists in Southwest Florida from southern Pinellas to Lee counties.”</x:v>
      </x:c>
      <x:c r="D18" s="44" t="str">
        <x:v>Pinellas very low–low (2 samples); Manatee background–very low (3); Sarasota background–medium (13); Charlotte background–medium (4); Lee background–low (8).</x:v>
      </x:c>
      <x:c r="E18" s="44" t="str">
        <x:v>Not stated in the bulletin.</x:v>
      </x:c>
      <x:c r="F18" s="44" t="str">
        <x:v>Not stated in the bulletin.</x:v>
      </x:c>
    </x:row>
    <x:row r="19" ht="84" customHeight="1">
      <x:c r="A19" s="39" t="d">
        <x:v>2017-03-01T00:00:00.000Z</x:v>
      </x:c>
      <x:c r="B19" s="40" t="str">
        <x:f>IFERROR(HYPERLINK("https://start1.org/red-tide-status/red-tide-status-report-march-29-2017/","2017-03-29 · START reproduction"),"2017-03-29 · START reproduction")</x:f>
        <x:v>2017-03-29 · START reproduction</x:v>
      </x:c>
      <x:c r="C19" s="41" t="str">
        <x:v>“A patchy bloom of the Florida red tide organism, Karenia brevis, persists in Southwest Florida from southern Pinellas to northern Collier counties.”</x:v>
      </x:c>
      <x:c r="D19" s="41" t="str">
        <x:v>Pinellas very low (1 sample); Manatee background–very low (5); Sarasota background–medium (22); Charlotte very low–medium (14); Lee background–low (27); Collier very low–low (4).</x:v>
      </x:c>
      <x:c r="E19" s="41" t="str">
        <x:v>Not stated in the retrieved reproduction.</x:v>
      </x:c>
      <x:c r="F19" s="41" t="str">
        <x:v>Not stated in the retrieved reproduction.</x:v>
      </x:c>
    </x:row>
    <x:row r="20" ht="84" customHeight="1">
      <x:c r="A20" s="42" t="d">
        <x:v>2017-04-01T00:00:00.000Z</x:v>
      </x:c>
      <x:c r="B20" s="43" t="str">
        <x:f>IFERROR(HYPERLINK("https://www.sfwmd.gov/sites/default/files/documents/wkly_env_conditions_ops_report_revised_2017_04_11.pdf","2017-04-07 findings · SFWMD summary, p. 23"),"2017-04-07 findings · SFWMD summary, p. 23")</x:f>
        <x:v>2017-04-07 findings · SFWMD summary, p. 23</x:v>
      </x:c>
      <x:c r="C20" s="44" t="str">
        <x:v>SFWMD wording about FWC findings: “persists in Southwest Florida from Pinellas to Lee counties.”</x:v>
      </x:c>
      <x:c r="D20" s="44" t="str">
        <x:v>Lee: background–low (21 samples), according to SFWMD's summary of FWC/FWRI findings.</x:v>
      </x:c>
      <x:c r="E20" s="44" t="str">
        <x:v>SFWMD wording: “Fish kills were reported at Bonita Beach in Lee County.”</x:v>
      </x:c>
      <x:c r="F20" s="44" t="str">
        <x:v>Yes—Bowman’s Beach, Lee County, per SFWMD's account of FWC/FWRI findings.</x:v>
      </x:c>
    </x:row>
    <x:row r="21" ht="84" customHeight="1">
      <x:c r="A21" s="39" t="d">
        <x:v>2017-04-01T00:00:00.000Z</x:v>
      </x:c>
      <x:c r="B21" s="40" t="str">
        <x:f>IFERROR(HYPERLINK("https://start1.org/red-tide-status/red-tide-status-report-april-21-2017/","2017-04-21 · START reproduction"),"2017-04-21 · START reproduction")</x:f>
        <x:v>2017-04-21 · START reproduction</x:v>
      </x:c>
      <x:c r="C21" s="41" t="str">
        <x:v>“The Florida red tide organism, Karenia brevis, persists at background to very low concentrations in Southwest Florida.”</x:v>
      </x:c>
      <x:c r="D21" s="41" t="str">
        <x:v>Pinellas background (1 sample); Sarasota background–very low (6); Lee background–very low (6).</x:v>
      </x:c>
      <x:c r="E21" s="41" t="str">
        <x:v>Not stated in the retrieved reproduction.</x:v>
      </x:c>
      <x:c r="F21" s="41" t="str">
        <x:v>Not stated in the retrieved reproduction.</x:v>
      </x:c>
    </x:row>
    <x:row r="22" ht="84" customHeight="1">
      <x:c r="A22" s="42" t="d">
        <x:v>2018-02-01T00:00:00.000Z</x:v>
      </x:c>
      <x:c r="B22" s="43" t="str">
        <x:f>IFERROR(HYPERLINK("https://content.govdelivery.com/accounts/FLFFWCC/bulletins/1dcb156","2018-02-21 · FWC midweek update"),"2018-02-21 · FWC midweek update")</x:f>
        <x:v>2018-02-21 · FWC midweek update</x:v>
      </x:c>
      <x:c r="C22" s="44" t="str">
        <x:v>“A patchy bloom of the Florida red tide organism, Karenia brevis, persists in Southwest Florida.”</x:v>
      </x:c>
      <x:c r="D22" s="44" t="str">
        <x:v>Lee, from/offshore: background–low (3 samples); Monroe, offshore: very low–medium (2).</x:v>
      </x:c>
      <x:c r="E22" s="44" t="str">
        <x:v>“Fish kills were reported in Monroe County”
Sites/dates summarized: eight miles south of Sandy Key (Feb 15), Florida Bay (Feb 16), and offshore Marathon Key (Feb 16 and 19).</x:v>
      </x:c>
      <x:c r="F22" s="44" t="str">
        <x:v>Yes—offshore Marathon Key, Monroe County, on February 19.</x:v>
      </x:c>
    </x:row>
    <x:row r="23" ht="84" customHeight="1">
      <x:c r="A23" s="39" t="d">
        <x:v>2018-02-01T00:00:00.000Z</x:v>
      </x:c>
      <x:c r="B23" s="40" t="str">
        <x:f>IFERROR(HYPERLINK("https://start1.org/red-tide-status/red-tide-status-report-february-23-2018/","2018-02-23 · START reproduction"),"2018-02-23 · START reproduction")</x:f>
        <x:v>2018-02-23 · START reproduction</x:v>
      </x:c>
      <x:c r="C23" s="41" t="str">
        <x:v>“A patchy bloom of the Florida red tide organism, Karenia brevis, persists in Southwest Florida.”</x:v>
      </x:c>
      <x:c r="D23" s="41" t="str">
        <x:v>Lee, from/offshore: very low–medium (5 samples); Monroe, offshore: medium (1).</x:v>
      </x:c>
      <x:c r="E23" s="41" t="str">
        <x:v>“Fish kills were reported … Lee County … Monroe County”
Lee: Bunche Beach and Pine Island Sound (Feb 22). Monroe: offshore Marathon Key and Grassy Key in Florida Bay (Feb 16 and 19–21).</x:v>
      </x:c>
      <x:c r="F23" s="41" t="str">
        <x:v>Yes—offshore Marathon Key, Monroe County, on February 19.</x:v>
      </x:c>
    </x:row>
    <x:row r="24" ht="94" customHeight="1">
      <x:c r="A24" s="42" t="d">
        <x:v>2018-02-01T00:00:00.000Z</x:v>
      </x:c>
      <x:c r="B24" s="43" t="str">
        <x:f>IFERROR(HYPERLINK("https://content.govdelivery.com/accounts/FLFFWCC/bulletins/1de8d03","2018-02-28 · FWC midweek update"),"2018-02-28 · FWC midweek update")</x:f>
        <x:v>2018-02-28 · FWC midweek update</x:v>
      </x:c>
      <x:c r="C24" s="44" t="str">
        <x:v>“A patchy bloom … persists in Southwest Florida.”</x:v>
      </x:c>
      <x:c r="D24" s="44" t="str">
        <x:v>Pinellas background (1 sample); Lee, from/offshore, very low–medium (13); Collier background–very low (3).</x:v>
      </x:c>
      <x:c r="E24" s="44" t="str">
        <x:v>“More than 20 fish kill reports were received for Lee County;”
Additional locations summarized: Barefoot Beach, Collier (Feb 27); Red Bay Bank, offshore Monroe (Feb 21). Lee reports cover several coastal and estuarine sites.</x:v>
      </x:c>
      <x:c r="F24" s="44" t="str">
        <x:v>Yes—Lee: Lovers Key State Park (Feb 26–27), Causeway Islands (Feb 26), Bowman’s Beach (Feb 25). Collier: Barefoot Beach (Feb 27).</x:v>
      </x:c>
    </x:row>
    <x:row r="25" ht="94" customHeight="1">
      <x:c r="A25" s="39" t="d">
        <x:v>2018-03-01T00:00:00.000Z</x:v>
      </x:c>
      <x:c r="B25" s="40" t="str">
        <x:f>IFERROR(HYPERLINK("https://content.govdelivery.com/accounts/FLFFWCC/bulletins/1e59281","2018-03-28 · FWC midweek update"),"2018-03-28 · FWC midweek update")</x:f>
        <x:v>2018-03-28 · FWC midweek update</x:v>
      </x:c>
      <x:c r="C25" s="41" t="str">
        <x:v>“A bloom of the Florida red tide organism, Karenia brevis, persists in Southwest Florida.”</x:v>
      </x:c>
      <x:c r="D25" s="41" t="str">
        <x:v>Sarasota background (1 sample); Charlotte low (1); Lee, from/offshore, very low–medium (13); Collier low–high (6).</x:v>
      </x:c>
      <x:c r="E25" s="41" t="str">
        <x:v>“fish kills were reported … Lee … and Collier”
Sites summarized: Bonita Beach, Bowman’s Beach, Gasparilla Island Range Lighthouse; Barefoot, South Marco, Vanderbilt and Naples beaches.</x:v>
      </x:c>
      <x:c r="F25" s="41" t="str">
        <x:v>Yes—Sarasota: Nokomis Beach. Lee: Bonita Beach and Gasparilla Island Range Lighthouse. Collier: Barefoot, South Marco, Seagate and Vanderbilt beaches. Reported dates fall March 21–27.</x:v>
      </x:c>
    </x:row>
    <x:row r="26" ht="84" customHeight="1">
      <x:c r="A26" s="42" t="d">
        <x:v>2018-04-01T00:00:00.000Z</x:v>
      </x:c>
      <x:c r="B26" s="43" t="str">
        <x:f>IFERROR(HYPERLINK("https://content.govdelivery.com/accounts/FLFFWCC/bulletins/1e7c195","2018-04-06 · FWC bulletin"),"2018-04-06 · FWC bulletin")</x:f>
        <x:v>2018-04-06 · FWC bulletin</x:v>
      </x:c>
      <x:c r="C26" s="44" t="str">
        <x:v>“A bloom of the Florida red tide organism, Karenia brevis, persists in Southwest Florida.”</x:v>
      </x:c>
      <x:c r="D26" s="44" t="str">
        <x:v>Pinellas background (1 sample); Charlotte background–low (3); Lee background–medium (16); Collier background–medium (9); Monroe, offshore: very low (2).</x:v>
      </x:c>
      <x:c r="E26" s="44" t="str">
        <x:v>“fish kills were observed … Lee County … offshore of Monroe County”
Sites/dates summarized: Gasparilla Island State Park, Lee (Apr 6); Florida Bay, offshore Monroe (Apr 4).</x:v>
      </x:c>
      <x:c r="F26" s="44" t="str">
        <x:v>Yes—Bonita Beach, Lee County, on April 5.</x:v>
      </x:c>
    </x:row>
    <x:row r="27" ht="108" customHeight="1">
      <x:c r="A27" s="39" t="d">
        <x:v>2018-04-01T00:00:00.000Z</x:v>
      </x:c>
      <x:c r="B27" s="40" t="str">
        <x:f>IFERROR(HYPERLINK("https://content.govdelivery.com/accounts/FLFFWCC/bulletins/1eaa217","2018-04-18 · FWC midweek update"),"2018-04-18 · FWC midweek update")</x:f>
        <x:v>2018-04-18 · FWC midweek update</x:v>
      </x:c>
      <x:c r="C27" s="41" t="str">
        <x:v>“A bloom of the Florida red tide organism, Karenia brevis, persists in Southwest Florida.”</x:v>
      </x:c>
      <x:c r="D27" s="41" t="str">
        <x:v>Manatee background (1 sample); Charlotte background–low (6); Lee very low–medium (9); Collier background–low (9); Monroe, from/offshore: very low (3).</x:v>
      </x:c>
      <x:c r="E27" s="41" t="str">
        <x:v>“fish kills were reported … Lee … and Collier”
Lee sites include Bonita Beach, Fort Myers Beach, Gasparilla Island, Lovers Key, Sanibel Island and near New Pass. Collier: Barefoot Beach, near Delnor-Wiggins State Park and Vanderbilt Beach. Dates span Apr 11–18.</x:v>
      </x:c>
      <x:c r="F27" s="41" t="str">
        <x:v>Yes—Lee: Bonita Beach (Apr 11–14), Lovers Key (Apr 11), Newton Park (Apr 12). Collier: Barefoot Beach (Apr 14, 16), South Marco Beach (Apr 12, 16), Vanderbilt Beach (Apr 11–12).</x:v>
      </x:c>
    </x:row>
    <x:row r="28" ht="108" customHeight="1">
      <x:c r="A28" s="42" t="d">
        <x:v>2018-04-01T00:00:00.000Z</x:v>
      </x:c>
      <x:c r="B28" s="43" t="str">
        <x:f>IFERROR(HYPERLINK("https://content.govdelivery.com/accounts/FLFFWCC/bulletins/1eb2017","2018-04-20 · FWC bulletin"),"2018-04-20 · FWC bulletin")</x:f>
        <x:v>2018-04-20 · FWC bulletin</x:v>
      </x:c>
      <x:c r="C28" s="44" t="str">
        <x:v>“A bloom of the Florida red tide organism, Karenia brevis, persists in Southwest Florida.”</x:v>
      </x:c>
      <x:c r="D28" s="44" t="str">
        <x:v>Manatee background (1 sample); Charlotte low (1); Lee background–medium (10); Collier background–low (9).</x:v>
      </x:c>
      <x:c r="E28" s="44" t="str">
        <x:v>“fish kills were reported … Lee County … and Collier County”
The bulletin lists 11 Lee locations, including Bonita Beach, Causeway Islands, Fort Myers Beach, Sanibel Beach and Lovers Key; Collier sites are Barefoot Beach and Vanderbilt Beach.</x:v>
      </x:c>
      <x:c r="F28" s="44" t="str">
        <x:v>Yes—Lee: Bonita Beach (Apr 13–14), Lynn Hall Beach Park (Apr 19). Collier: Barefoot Beach (Apr 14, 16–17, 19), South Marco Beach (Apr 16), Vanderbilt Beach (Apr 19).</x:v>
      </x:c>
    </x:row>
    <x:row r="29" ht="84" customHeight="1">
      <x:c r="A29" s="39" t="d">
        <x:v>2018-04-01T00:00:00.000Z</x:v>
      </x:c>
      <x:c r="B29" s="40" t="str">
        <x:f>IFERROR(HYPERLINK("https://content.govdelivery.com/accounts/FLFFWCC/bulletins/1eca7bf","2018-04-27 · FWC bulletin"),"2018-04-27 · FWC bulletin")</x:f>
        <x:v>2018-04-27 · FWC bulletin</x:v>
      </x:c>
      <x:c r="C29" s="41" t="str">
        <x:v>“A bloom of the Florida red tide organism, Karenia brevis, persists in Southwest Florida.”</x:v>
      </x:c>
      <x:c r="D29" s="41" t="str">
        <x:v>Samples from or offshore of each county: Charlotte background–low (7); Lee background–high (36); Collier very low–high (15); Monroe very low (2).</x:v>
      </x:c>
      <x:c r="E29" s="41" t="str">
        <x:v>“fish kills were reported … Lee County … and Collier County”
The bulletin lists nine Lee locations and six Collier locations.</x:v>
      </x:c>
      <x:c r="F29" s="41" t="str">
        <x:v>Yes—Lee: Bonita Beach, Lovers Key and Lynn Hall Beach Park. Collier: Barefoot Beach, Clam Bay, Seagate Beach and Vanderbilt Beach. Observation dates span April 19–26.</x:v>
      </x:c>
    </x:row>
    <x:row r="30" ht="84" customHeight="1">
      <x:c r="A30" s="42" t="d">
        <x:v>2018-05-01T00:00:00.000Z</x:v>
      </x:c>
      <x:c r="B30" s="43" t="str">
        <x:f>IFERROR(HYPERLINK("https://content.govdelivery.com/accounts/FLFFWCC/bulletins/1f2b53e","2018-05-25 · FWC bulletin"),"2018-05-25 · FWC bulletin")</x:f>
        <x:v>2018-05-25 · FWC bulletin</x:v>
      </x:c>
      <x:c r="C30" s="44" t="str">
        <x:v>“A bloom of the Florida red tide organism, Karenia brevis, persists in Southwest Florida.”</x:v>
      </x:c>
      <x:c r="D30" s="44" t="str">
        <x:v>Pinellas background (1 sample); Manatee background (1); Charlotte very low (1); Lee, from/offshore, background–medium (17); Collier background (1).</x:v>
      </x:c>
      <x:c r="E30" s="44" t="str">
        <x:v>“fish kills were reported … Lee County … and Collier County”
Sites summarized: Bonita Beach (Lee) and Barefoot Beach (Collier).</x:v>
      </x:c>
      <x:c r="F30" s="44" t="str">
        <x:v>Yes—Newton Park, Lee County, on May 24.</x:v>
      </x:c>
    </x:row>
    <x:row r="31" ht="84" customHeight="1">
      <x:c r="A31" s="39" t="d">
        <x:v>2019-02-01T00:00:00.000Z</x:v>
      </x:c>
      <x:c r="B31" s="40" t="str">
        <x:f>IFERROR(HYPERLINK("https://start1.org/red-tide-status/red-tide-status-report-february-22-2019/","2019-02-22 · START reproduction"),"2019-02-22 · START reproduction")</x:f>
        <x:v>2019-02-22 · START reproduction</x:v>
      </x:c>
      <x:c r="C31" s="41" t="str">
        <x:v>“In Southwest Florida over the past week, K. brevis was not observed.”</x:v>
      </x:c>
      <x:c r="D31" s="41" t="str">
        <x:v>Not observed in the week's Southwest Florida samples; the reproduction also reports no observations in Northwest Florida or on the East Coast.</x:v>
      </x:c>
      <x:c r="E31" s="41" t="str">
        <x:v>“fish kill reports were received for Collier County”</x:v>
      </x:c>
      <x:c r="F31" s="41" t="str">
        <x:v>Yes—Pinellas, Manatee and Lee counties.</x:v>
      </x:c>
    </x:row>
    <x:row r="32" ht="108" customHeight="1">
      <x:c r="A32" s="42" t="d">
        <x:v>2021-06-01T00:00:00.000Z</x:v>
      </x:c>
      <x:c r="B32" s="43" t="str">
        <x:f>IFERROR(HYPERLINK("https://content.govdelivery.com/accounts/FLFFWCC/bulletins/2e3a896","2021-06-11 · FWC bulletin"),"2021-06-11 · FWC bulletin")</x:f>
        <x:v>2021-06-11 · FWC bulletin</x:v>
      </x:c>
      <x:c r="C32" s="44" t="str">
        <x:v>“A patchy bloom … persists in Southwest Florida.”</x:v>
      </x:c>
      <x:c r="D32" s="44" t="str">
        <x:v>Pinellas very low–medium; Hillsborough and Manatee background–medium (all in/offshore). Sarasota background (in/offshore); Charlotte low; Lee and Collier background–medium. Detected in 71 samples; 17 exceeded 100,000 cells/L: Pinellas 6, Hillsborough 4, Manatee 5, Lee 1, Collier 1.</x:v>
      </x:c>
      <x:c r="E32" s="44" t="str">
        <x:v>“fish kills suspected to be related to red tide were reported … Pinellas, Hillsborough, Manatee, and Lee counties.”</x:v>
      </x:c>
      <x:c r="F32" s="44" t="str">
        <x:v>Yes—Pinellas County during the preceding week; suspected to be related to red tide.</x:v>
      </x:c>
    </x:row>
    <x:row r="33" ht="122" customHeight="1">
      <x:c r="A33" s="39" t="d">
        <x:v>2021-06-01T00:00:00.000Z</x:v>
      </x:c>
      <x:c r="B33" s="40" t="str">
        <x:f>IFERROR(HYPERLINK("https://content.govdelivery.com/accounts/FLFFWCC/bulletins/2e449d9?reqfrom=share","2021-06-16 · FWC midweek update"),"2021-06-16 · FWC midweek update")</x:f>
        <x:v>2021-06-16 · FWC midweek update</x:v>
      </x:c>
      <x:c r="C33" s="41" t="str">
        <x:v>“A bloom … persists in Southwest Florida.”</x:v>
      </x:c>
      <x:c r="D33" s="41" t="str">
        <x:v>Pinellas background–high (15 samples); Hillsborough very low–medium (6); Manatee background–medium (12); Sarasota background (5); Charlotte low (1); Lee background–very low (11); Collier background–very low (2). 52 positive samples; 13 bloom-level samples (&gt;100,000 cells/L): Pinellas 6, Hillsborough 3, Manatee 4. Offshore Monroe: not detected.</x:v>
      </x:c>
      <x:c r="E33" s="41" t="str">
        <x:v>“fish kills suspected to be related to red tide were reported in Pinellas, Hillsborough, and Manatee counties.”</x:v>
      </x:c>
      <x:c r="F33" s="41" t="str">
        <x:v>Yes—Pinellas County; suspected to be related to red tide.</x:v>
      </x:c>
    </x:row>
    <x:row r="34" ht="136" customHeight="1">
      <x:c r="A34" s="42" t="d">
        <x:v>2021-06-01T00:00:00.000Z</x:v>
      </x:c>
      <x:c r="B34" s="43" t="str">
        <x:f>IFERROR(HYPERLINK("https://start1.org/red-tide-status/red-tide-status-report-june-25-2021/","2021-06-25 · START reproduction"),"2021-06-25 · START reproduction")</x:f>
        <x:v>2021-06-25 · START reproduction</x:v>
      </x:c>
      <x:c r="C34" s="44" t="str">
        <x:v>A patchy K. brevis bloom “persists on the Florida Gulf Coast.”</x:v>
      </x:c>
      <x:c r="D34" s="44" t="str">
        <x:v>Southwest: Pinellas background–high; Hillsborough very low–high; Manatee, in/offshore, very low–medium; Sarasota background–medium; Lee background–low; Collier very low. Gulf Coast total: 98 positive samples; 37 &gt;100,000 cells/L (Pasco 1, Pinellas 9, Hillsborough 18, Manatee 8, Sarasota 1). Pasco is classified as Northwest Florida in this report.</x:v>
      </x:c>
      <x:c r="E34" s="44" t="str">
        <x:v>“fish kills suspected to be related to red tide were reported in Pasco, Pinellas, and Hillsborough counties.”
The quoted list spans Northwest and Southwest Florida.</x:v>
      </x:c>
      <x:c r="F34" s="44" t="str">
        <x:v>Yes—Pinellas and Sarasota counties; suspected to be related to red tide.</x:v>
      </x:c>
    </x:row>
    <x:row r="35" ht="108" customHeight="1">
      <x:c r="A35" s="39" t="d">
        <x:v>2023-05-01T00:00:00.000Z</x:v>
      </x:c>
      <x:c r="B35" s="40" t="str">
        <x:f>IFERROR(HYPERLINK("https://start1.org/red-tide-status/red-tide-status-report-may-26-2023/","2023-05-26 · START reproduction"),"2023-05-26 · START reproduction")</x:f>
        <x:v>2023-05-26 · START reproduction</x:v>
      </x:c>
      <x:c r="C35" s="41" t="str">
        <x:v>“Bloom concentrations (&gt;100,000 cells/liter) were not observed.”
The report still records K. brevis detections along the Gulf Coast.</x:v>
      </x:c>
      <x:c r="D35" s="41" t="str">
        <x:v>27 positive Gulf Coast samples. Southwest: Pinellas background (in/offshore); Manatee background (offshore); Sarasota background and very low (in/offshore); Charlotte background–low; Lee background–very low; Collier background (in/offshore); Monroe background (offshore). No samples above 100,000 cells/L.</x:v>
      </x:c>
      <x:c r="E35" s="41" t="str">
        <x:v>“Reports of fish kills suspected to be related to red tide were received … from Sarasota County.”</x:v>
      </x:c>
      <x:c r="F35" s="41" t="str">
        <x:v>Yes—Sarasota County, suspected to be red-tide-related, via the Beach Conditions Reporting System.</x:v>
      </x:c>
    </x:row>
  </x:sheetData>
  <x:pageMargins left="0.7" right="0.7" top="0.75" bottom="0.75" header="0.3" footer="0.3"/>
  <x:tableParts count="1">
    <x:tablePart xmlns:r="http://schemas.openxmlformats.org/officeDocument/2006/relationships" r:id="Rb05db1b6f70a446a"/>
  </x:tableParts>
</x:worksheet>
</file>

<file path=xl/worksheets/sheet2.xml><?xml version="1.0" encoding="utf-8"?>
<x:worksheet xmlns:x="http://schemas.openxmlformats.org/spreadsheetml/2006/main">
  <x:sheetPr>
    <x:tabColor rgb="FF708B9A"/>
  </x:sheetPr>
  <x:sheetViews>
    <x:sheetView showGridLines="0" workbookViewId="0">
      <x:pane ySplit="6" topLeftCell="A7" activePane="bottomLeft" state="frozen"/>
    </x:sheetView>
  </x:sheetViews>
  <x:sheetFormatPr defaultRowHeight="15"/>
  <x:cols>
    <x:col min="1" max="1" width="10.220000267028809" hidden="0" customWidth="1"/>
    <x:col min="2" max="2" width="28.889999389648438" hidden="0" customWidth="1"/>
    <x:col min="3" max="3" width="36.66999816894531" hidden="0" customWidth="1"/>
    <x:col min="4" max="4" width="80" hidden="0" customWidth="1"/>
  </x:cols>
  <x:sheetData>
    <x:row r="1" ht="12" customHeight="1">
      <x:c r="A1" s="1"/>
      <x:c r="B1" s="1"/>
      <x:c r="C1" s="1"/>
      <x:c r="D1" s="1"/>
    </x:row>
    <x:row r="2" ht="27" customHeight="1">
      <x:c r="A2" s="2" t="str">
        <x:v>Sources, dates and interpretation notes</x:v>
      </x:c>
      <x:c r="B2" s="1"/>
      <x:c r="C2" s="1"/>
      <x:c r="D2" s="1"/>
    </x:row>
    <x:row r="3" ht="22" customHeight="1">
      <x:c r="A3" s="3" t="str">
        <x:v>Direct FWC bulletins, clearly labeled reproductions, supplemental details and the unresolved April 2013 evidence gap</x:v>
      </x:c>
      <x:c r="B3" s="1"/>
      <x:c r="C3" s="1"/>
      <x:c r="D3" s="1"/>
    </x:row>
    <x:row r="4" ht="22" customHeight="1">
      <x:c r="A4" s="4" t="str">
        <x:v>Report dates take precedence over posting dates. Direct FWC GovDelivery links are preferred; original FWC URLs were not recovered for every date.</x:v>
      </x:c>
      <x:c r="B4" s="1"/>
      <x:c r="C4" s="1"/>
      <x:c r="D4" s="1"/>
    </x:row>
    <x:row r="5" ht="8" customHeight="1">
      <x:c r="A5" s="5"/>
      <x:c r="B5" s="5"/>
      <x:c r="C5" s="5"/>
      <x:c r="D5" s="5"/>
    </x:row>
    <x:row r="6" ht="44" customHeight="1">
      <x:c r="A6" s="17" t="str">
        <x:v>Month</x:v>
      </x:c>
      <x:c r="B6" s="18" t="str">
        <x:v>Source / note type</x:v>
      </x:c>
      <x:c r="C6" s="18" t="str">
        <x:v>Source link or label</x:v>
      </x:c>
      <x:c r="D6" s="19" t="str">
        <x:v>Detail</x:v>
      </x:c>
    </x:row>
    <x:row r="7" ht="68" customHeight="1">
      <x:c r="A7" s="51" t="str">
        <x:v>2012-03</x:v>
      </x:c>
      <x:c r="B7" s="41" t="str">
        <x:v>FWRI report reproduced by START</x:v>
      </x:c>
      <x:c r="C7" s="40" t="str">
        <x:f>IFERROR(HYPERLINK("https://start1.org/red-tide-status/03-23-12/","2012-03-23 · START reproduction"),"2012-03-23 · START reproduction")</x:f>
        <x:v>2012-03-23 · START reproduction</x:v>
      </x:c>
      <x:c r="D7" s="41" t="str">
        <x:v>The reproduction attributes these observations to FWRI as of March 23. This is a weekly snapshot, not evidence that all March was bloom-free. No fish-kill or respiratory-irritation statement appears in this reproduction.</x:v>
      </x:c>
    </x:row>
    <x:row r="8" ht="68" customHeight="1">
      <x:c r="A8" s="52" t="str">
        <x:v>2013-03</x:v>
      </x:c>
      <x:c r="B8" s="44" t="str">
        <x:v>FWC report reproduced by Fly Life Magazine</x:v>
      </x:c>
      <x:c r="C8" s="43" t="str">
        <x:f>IFERROR(HYPERLINK("https://flylifemagazine.com/environment-red-tide-persists-along-sw-coast-of-florida/","2013-03-11 · Fly Life reproduction"),"2013-03-11 · Fly Life reproduction")</x:f>
        <x:v>2013-03-11 · Fly Life reproduction</x:v>
      </x:c>
      <x:c r="D8" s="44" t="str">
        <x:v>The page labels its text ‘An FWC report March 11, 2013’ and was posted March 12. The opening decorative drop-cap is excluded from the quotation. Original FWC-hosted narrative not recovered.</x:v>
      </x:c>
    </x:row>
    <x:row r="9" ht="68" customHeight="1">
      <x:c r="A9" s="54" t="str">
        <x:v>2013-04</x:v>
      </x:c>
      <x:c r="B9" s="50" t="str">
        <x:v>Official FWC monthly map page; narrative not recovered</x:v>
      </x:c>
      <x:c r="C9" s="46" t="str">
        <x:f>IFERROR(HYPERLINK("https://www.flickr.com/photos/myfwc/9678637547/","FWC April 2013 map · narrative unavailable"),"FWC April 2013 map · narrative unavailable")</x:f>
        <x:v>FWC April 2013 map · narrative unavailable</x:v>
      </x:c>
      <x:c r="D9" s="50" t="str">
        <x:v>Evidence gap, not a finding of no bloom or no impacts. The map is titled April 2013; Flickr's September 5, 2013 upload/taken dates are not the observation month. Do not use this row as a negative observation.</x:v>
      </x:c>
    </x:row>
    <x:row r="10" ht="68" customHeight="1">
      <x:c r="A10" s="52" t="str">
        <x:v>2013-10</x:v>
      </x:c>
      <x:c r="B10" s="44" t="str">
        <x:v>FWRI report reproduced by START</x:v>
      </x:c>
      <x:c r="C10" s="43" t="str">
        <x:f>IFERROR(HYPERLINK("https://start1.org/red-tide-status/red-tide-update-october-11-2013/","2013-10-11 · START reproduction"),"2013-10-11 · START reproduction")</x:f>
        <x:v>2013-10-11 · START reproduction</x:v>
      </x:c>
      <x:c r="D10" s="44" t="str">
        <x:v>Report date October 11; posting date October 18. The Southwest Florida passage describes K. brevis detections, not an explicit bloom. The separate Indian River Lagoon passage concerns Pyrodinium, Aureoumbra and Pseudo-nitzschia and must not be treated as West Florida Shelf K. brevis evidence.</x:v>
      </x:c>
    </x:row>
    <x:row r="11" ht="68" customHeight="1">
      <x:c r="A11" s="51" t="str">
        <x:v>2016-03</x:v>
      </x:c>
      <x:c r="B11" s="41" t="str">
        <x:v>Direct FWC GovDelivery bulletin</x:v>
      </x:c>
      <x:c r="C11" s="40" t="str">
        <x:f>IFERROR(HYPERLINK("https://content.govdelivery.com/accounts/FLFFWCC/bulletins/13c52be","2016-03-11 · FWC bulletin"),"2016-03-11 · FWC bulletin")</x:f>
        <x:v>2016-03-11 · FWC bulletin</x:v>
      </x:c>
      <x:c r="D11" s="41" t="str">
        <x:v>The fish-kill sentence reports observations but does not explicitly establish red tide as their cause. This bulletin does not call the Southwest Florida detections a bloom.</x:v>
      </x:c>
    </x:row>
    <x:row r="12" ht="68" customHeight="1">
      <x:c r="A12" s="52" t="str">
        <x:v>2016-04</x:v>
      </x:c>
      <x:c r="B12" s="44" t="str">
        <x:v>FWC report reproduced by START</x:v>
      </x:c>
      <x:c r="C12" s="43" t="str">
        <x:f>IFERROR(HYPERLINK("https://start1.org/red-tide-status/red-tide-status-report-april-1-2016/","2016-04-01 · START reproduction"),"2016-04-01 · START reproduction")</x:f>
        <x:v>2016-04-01 · START reproduction</x:v>
      </x:c>
      <x:c r="D12" s="44" t="str">
        <x:v>Report dated April 1, posted April 6. Previously included only as a supplemental link; now a separate dated evidence row. Medium concentrations in Pinellas and Lee contrast with the lower ranges listed on April 29. Original FWC bulletin URL not recovered.</x:v>
      </x:c>
    </x:row>
    <x:row r="13" ht="68" customHeight="1">
      <x:c r="A13" s="51" t="str">
        <x:v>2016-04</x:v>
      </x:c>
      <x:c r="B13" s="41" t="str">
        <x:v>Direct FWC bulletin; concentrations from same-date START reproduction</x:v>
      </x:c>
      <x:c r="C13" s="40" t="str">
        <x:f>IFERROR(HYPERLINK("https://content.govdelivery.com/accounts/FLFFWCC/bulletins/1465a5f","2016-04-29 · FWC bulletin"),"2016-04-29 · FWC bulletin")</x:f>
        <x:v>2016-04-29 · FWC bulletin</x:v>
      </x:c>
      <x:c r="D13" s="41" t="str">
        <x:v>The direct bulletin supplies the bloom and fish-kill wording but omits the detailed Southwest Florida concentration paragraph. That paragraph is in START's reproduction of the same April 29 report (posted May 9). FWC's bloom wording is retained although the listed April 29 categories peak at low.</x:v>
      </x:c>
    </x:row>
    <x:row r="14" ht="68" customHeight="1">
      <x:c r="A14" s="52" t="str">
        <x:v>2016-04</x:v>
      </x:c>
      <x:c r="B14" s="44" t="str">
        <x:v>Supplemental dated source</x:v>
      </x:c>
      <x:c r="C14" s="43" t="str">
        <x:f>IFERROR(HYPERLINK("https://start1.org/red-tide-status/red-tide-status-report-april-29-2016/","2016-04-29 · concentration details"),"2016-04-29 · concentration details")</x:f>
        <x:v>2016-04-29 · concentration details</x:v>
      </x:c>
      <x:c r="D14" s="44" t="str">
        <x:v>Same-date reproduction supplies the county concentration ranges in the main table.</x:v>
      </x:c>
    </x:row>
    <x:row r="15" ht="68" customHeight="1">
      <x:c r="A15" s="51" t="str">
        <x:v>2017-01</x:v>
      </x:c>
      <x:c r="B15" s="41" t="str">
        <x:v>Direct FWC GovDelivery bulletin</x:v>
      </x:c>
      <x:c r="C15" s="40" t="str">
        <x:f>IFERROR(HYPERLINK("https://content.govdelivery.com/accounts/FLFFWCC/bulletins/181cb1c?reqfrom=share","2017-01-20 · FWC bulletin"),"2017-01-20 · FWC bulletin")</x:f>
        <x:v>2017-01-20 · FWC bulletin</x:v>
      </x:c>
      <x:c r="D15" s="41" t="str">
        <x:v>Bulletin title and dispatch date agree. County ranges and sample counts describe the preceding week, not all January.</x:v>
      </x:c>
    </x:row>
    <x:row r="16" ht="68" customHeight="1">
      <x:c r="A16" s="52" t="str">
        <x:v>2017-02</x:v>
      </x:c>
      <x:c r="B16" s="44" t="str">
        <x:v>Direct FWC bulletin with title/dispatch date mismatch</x:v>
      </x:c>
      <x:c r="C16" s="43" t="str">
        <x:f>IFERROR(HYPERLINK("https://content.govdelivery.com/accounts/FLFFWCC/bulletins/18681fd?reqfrom=share","Sent 2017-02-10 · title says 2.7.17"),"Sent 2017-02-10 · title says 2.7.17")</x:f>
        <x:v>Sent 2017-02-10 · title says 2.7.17</x:v>
      </x:c>
      <x:c r="D16" s="44" t="str">
        <x:v>The archive title is Red Tide Report 2.7.17, but the dispatch timestamp is February 10, 2017. Both are preserved rather than silently correcting the title.</x:v>
      </x:c>
    </x:row>
    <x:row r="17" ht="68" customHeight="1">
      <x:c r="A17" s="51" t="str">
        <x:v>2017-02</x:v>
      </x:c>
      <x:c r="B17" s="41" t="str">
        <x:v>Red tide report reproduced by START; original FWC URL not recovered</x:v>
      </x:c>
      <x:c r="C17" s="40" t="str">
        <x:f>IFERROR(HYPERLINK("https://start1.org/red-tide-status/red-tide-status-report-february-24-2017/","2017-02-24 · START reproduction"),"2017-02-24 · START reproduction")</x:f>
        <x:v>2017-02-24 · START reproduction</x:v>
      </x:c>
      <x:c r="D17" s="41" t="str">
        <x:v>Report dated February 24, posted February 27. This START page reproduces the FWC report format but lacks the explicit FWC courtesy line found on many other START pages; original FWC-hosted text was not recovered. The reproduction assigns Manasota Beach to Charlotte County; the table preserves the beach name without endorsing that assignment.</x:v>
      </x:c>
    </x:row>
    <x:row r="18" ht="68" customHeight="1">
      <x:c r="A18" s="52" t="str">
        <x:v>2017-03</x:v>
      </x:c>
      <x:c r="B18" s="44" t="str">
        <x:v>Direct FWC GovDelivery bulletin</x:v>
      </x:c>
      <x:c r="C18" s="43" t="str">
        <x:f>IFERROR(HYPERLINK("https://content.govdelivery.com/accounts/FLFFWCC/bulletins/18c8f3e","2017-03-10 · FWC bulletin"),"2017-03-10 · FWC bulletin")</x:f>
        <x:v>2017-03-10 · FWC bulletin</x:v>
      </x:c>
      <x:c r="D18" s="44" t="str">
        <x:v>The bulletin labels Manasota Beach as Charlotte County; the respiratory cell retains the named beach without adding a geographic correction. The March 10, March 17 and March 29 reports have separate rows and overlapping reporting windows.</x:v>
      </x:c>
    </x:row>
    <x:row r="19" ht="68" customHeight="1">
      <x:c r="A19" s="51" t="str">
        <x:v>2017-03</x:v>
      </x:c>
      <x:c r="B19" s="41" t="str">
        <x:v>Direct FWC GovDelivery bulletin</x:v>
      </x:c>
      <x:c r="C19" s="40" t="str">
        <x:f>IFERROR(HYPERLINK("https://content.govdelivery.com/accounts/FLFFWCC/bulletins/18e2c89","2017-03-17 · FWC bulletin"),"2017-03-17 · FWC bulletin")</x:f>
        <x:v>2017-03-17 · FWC bulletin</x:v>
      </x:c>
      <x:c r="D19" s="41" t="str">
        <x:v>Title and dispatch date both identify March 17. The absence of fish-kill and respiratory-irritation passages is not an explicit finding of no impacts. This adds a second direct FWC bulletin for March.</x:v>
      </x:c>
    </x:row>
    <x:row r="20" ht="68" customHeight="1">
      <x:c r="A20" s="52" t="str">
        <x:v>2017-03</x:v>
      </x:c>
      <x:c r="B20" s="44" t="str">
        <x:v>FWC report reproduced by START</x:v>
      </x:c>
      <x:c r="C20" s="43" t="str">
        <x:f>IFERROR(HYPERLINK("https://start1.org/red-tide-status/red-tide-status-report-march-29-2017/","2017-03-29 · START reproduction"),"2017-03-29 · START reproduction")</x:f>
        <x:v>2017-03-29 · START reproduction</x:v>
      </x:c>
      <x:c r="D20" s="44" t="str">
        <x:v>Report dated March 29, posted April 2; explicitly credited to FWC. Its stated extent reaches northern Collier, whereas the March 17 bulletin names Lee as the southern end. Original FWC bulletin URL not recovered.</x:v>
      </x:c>
    </x:row>
    <x:row r="21" ht="68" customHeight="1">
      <x:c r="A21" s="51" t="str">
        <x:v>2017-04</x:v>
      </x:c>
      <x:c r="B21" s="41" t="str">
        <x:v>SFWMD summary of April 7 FWC/FWRI findings; published April 11</x:v>
      </x:c>
      <x:c r="C21" s="40" t="str">
        <x:f>IFERROR(HYPERLINK("https://www.sfwmd.gov/sites/default/files/documents/wkly_env_conditions_ops_report_revised_2017_04_11.pdf","2017-04-07 findings · SFWMD summary, p. 23"),"2017-04-07 findings · SFWMD summary, p. 23")</x:f>
        <x:v>2017-04-07 findings · SFWMD summary, p. 23</x:v>
      </x:c>
      <x:c r="D21" s="41" t="str">
        <x:v>Page 23 (PDF page index 22) of the April 11 SFWMD report explicitly attributes these findings to FWC/FWRI on April 7. Previously combined with April 21 in one row; now separated by date. These quotations are SFWMD wording, not verified original FWC bulletin text.</x:v>
      </x:c>
    </x:row>
    <x:row r="22" ht="68" customHeight="1">
      <x:c r="A22" s="52" t="str">
        <x:v>2017-04</x:v>
      </x:c>
      <x:c r="B22" s="44" t="str">
        <x:v>FWC report reproduced by START</x:v>
      </x:c>
      <x:c r="C22" s="43" t="str">
        <x:f>IFERROR(HYPERLINK("https://start1.org/red-tide-status/red-tide-status-report-april-21-2017/","2017-04-21 · START reproduction"),"2017-04-21 · START reproduction")</x:f>
        <x:v>2017-04-21 · START reproduction</x:v>
      </x:c>
      <x:c r="D22" s="44" t="str">
        <x:v>Report dated April 21, posted April 27. Only April 21 findings are included in this row. April 7 findings, summarized by SFWMD, now have a separate dated row. Original FWC bulletin URL not recovered.</x:v>
      </x:c>
    </x:row>
    <x:row r="23" ht="68" customHeight="1">
      <x:c r="A23" s="51" t="str">
        <x:v>2018-02</x:v>
      </x:c>
      <x:c r="B23" s="41" t="str">
        <x:v>Direct FWC GovDelivery bulletin</x:v>
      </x:c>
      <x:c r="C23" s="40" t="str">
        <x:f>IFERROR(HYPERLINK("https://content.govdelivery.com/accounts/FLFFWCC/bulletins/1dcb156","2018-02-21 · FWC midweek update"),"2018-02-21 · FWC midweek update")</x:f>
        <x:v>2018-02-21 · FWC midweek update</x:v>
      </x:c>
      <x:c r="D23" s="41" t="str">
        <x:v>Official midweek update dated February 21. Adds earlier February evidence from Lee and offshore Monroe. Fish-kill dates precede the bulletin date; February 21 is not the date of every observation.</x:v>
      </x:c>
    </x:row>
    <x:row r="24" ht="68" customHeight="1">
      <x:c r="A24" s="52" t="str">
        <x:v>2018-02</x:v>
      </x:c>
      <x:c r="B24" s="44" t="str">
        <x:v>FWC report reproduced by START</x:v>
      </x:c>
      <x:c r="C24" s="43" t="str">
        <x:f>IFERROR(HYPERLINK("https://start1.org/red-tide-status/red-tide-status-report-february-23-2018/","2018-02-23 · START reproduction"),"2018-02-23 · START reproduction")</x:f>
        <x:v>2018-02-23 · START reproduction</x:v>
      </x:c>
      <x:c r="D24" s="44" t="str">
        <x:v>Report dated February 23, posted February 28; explicitly credited to FWC. This is distinct from the direct FWC February 28 midweek bulletin. Original FWC bulletin URL not recovered.</x:v>
      </x:c>
    </x:row>
    <x:row r="25" ht="68" customHeight="1">
      <x:c r="A25" s="51" t="str">
        <x:v>2018-02</x:v>
      </x:c>
      <x:c r="B25" s="41" t="str">
        <x:v>Direct FWC GovDelivery bulletin</x:v>
      </x:c>
      <x:c r="C25" s="40" t="str">
        <x:f>IFERROR(HYPERLINK("https://content.govdelivery.com/accounts/FLFFWCC/bulletins/1de8d03","2018-02-28 · FWC midweek update"),"2018-02-28 · FWC midweek update")</x:f>
        <x:v>2018-02-28 · FWC midweek update</x:v>
      </x:c>
      <x:c r="D25" s="41" t="str">
        <x:v>More than 20 is the number of received reports for Lee, not a count of dead fish. Monroe appears in the fish-kill reports, not in this bulletin's positive Southwest Florida concentration list.</x:v>
      </x:c>
    </x:row>
    <x:row r="26" ht="68" customHeight="1">
      <x:c r="A26" s="52" t="str">
        <x:v>2018-03</x:v>
      </x:c>
      <x:c r="B26" s="44" t="str">
        <x:v>Direct FWC GovDelivery bulletin</x:v>
      </x:c>
      <x:c r="C26" s="43" t="str">
        <x:f>IFERROR(HYPERLINK("https://content.govdelivery.com/accounts/FLFFWCC/bulletins/1e59281","2018-03-28 · FWC midweek update"),"2018-03-28 · FWC midweek update")</x:f>
        <x:v>2018-03-28 · FWC midweek update</x:v>
      </x:c>
      <x:c r="D26" s="44" t="str">
        <x:v>The reporting interval spans the preceding week. Dates differ by beach; consult the linked bulletin for each observation date. Separate Bay County observations are outside the Southwest Florida scope.</x:v>
      </x:c>
    </x:row>
    <x:row r="27" ht="68" customHeight="1">
      <x:c r="A27" s="51" t="str">
        <x:v>2018-04</x:v>
      </x:c>
      <x:c r="B27" s="41" t="str">
        <x:v>Direct FWC GovDelivery bulletin</x:v>
      </x:c>
      <x:c r="C27" s="40" t="str">
        <x:f>IFERROR(HYPERLINK("https://content.govdelivery.com/accounts/FLFFWCC/bulletins/1e7c195","2018-04-06 · FWC bulletin"),"2018-04-06 · FWC bulletin")</x:f>
        <x:v>2018-04-06 · FWC bulletin</x:v>
      </x:c>
      <x:c r="D27" s="41" t="str">
        <x:v>Title and dispatch date both identify April 6. Adds early-April evidence with medium concentrations in Lee and Collier, before the high concentrations reported on April 27.</x:v>
      </x:c>
    </x:row>
    <x:row r="28" ht="68" customHeight="1">
      <x:c r="A28" s="52" t="str">
        <x:v>2018-04</x:v>
      </x:c>
      <x:c r="B28" s="44" t="str">
        <x:v>Direct FWC GovDelivery bulletin</x:v>
      </x:c>
      <x:c r="C28" s="43" t="str">
        <x:f>IFERROR(HYPERLINK("https://content.govdelivery.com/accounts/FLFFWCC/bulletins/1eaa217","2018-04-18 · FWC midweek update"),"2018-04-18 · FWC midweek update")</x:f>
        <x:v>2018-04-18 · FWC midweek update</x:v>
      </x:c>
      <x:c r="D28" s="44" t="str">
        <x:v>Official midweek update dated April 18. The fish-kill cell summarizes the longer site list; consult the bulletin for every named location and date. Reporting periods overlap adjacent bulletins, so counts must not be added as independent events.</x:v>
      </x:c>
    </x:row>
    <x:row r="29" ht="68" customHeight="1">
      <x:c r="A29" s="51" t="str">
        <x:v>2018-04</x:v>
      </x:c>
      <x:c r="B29" s="41" t="str">
        <x:v>Direct FWC GovDelivery bulletin</x:v>
      </x:c>
      <x:c r="C29" s="40" t="str">
        <x:f>IFERROR(HYPERLINK("https://content.govdelivery.com/accounts/FLFFWCC/bulletins/1eb2017","2018-04-20 · FWC bulletin"),"2018-04-20 · FWC bulletin")</x:f>
        <x:v>2018-04-20 · FWC bulletin</x:v>
      </x:c>
      <x:c r="D29" s="41" t="str">
        <x:v>Title and dispatch date both identify April 20. Lee reaches medium and Collier low in this bulletin; both reach high in the April 27 bulletin. These are report-specific ranges, not a continuous time series at fixed stations.</x:v>
      </x:c>
    </x:row>
    <x:row r="30" ht="68" customHeight="1">
      <x:c r="A30" s="52" t="str">
        <x:v>2018-04</x:v>
      </x:c>
      <x:c r="B30" s="44" t="str">
        <x:v>Direct FWC GovDelivery bulletin</x:v>
      </x:c>
      <x:c r="C30" s="43" t="str">
        <x:f>IFERROR(HYPERLINK("https://content.govdelivery.com/accounts/FLFFWCC/bulletins/1eca7bf","2018-04-27 · FWC bulletin"),"2018-04-27 · FWC bulletin")</x:f>
        <x:v>2018-04-27 · FWC bulletin</x:v>
      </x:c>
      <x:c r="D30" s="44" t="str">
        <x:v>The bloom-characterization sentence is reproduced in full, as requested in the user's example. Positive samples include coastal and offshore locations; this does not establish uniform conditions across the shelf.</x:v>
      </x:c>
    </x:row>
    <x:row r="31" ht="68" customHeight="1">
      <x:c r="A31" s="51" t="str">
        <x:v>2018-05</x:v>
      </x:c>
      <x:c r="B31" s="41" t="str">
        <x:v>Direct FWC GovDelivery bulletin</x:v>
      </x:c>
      <x:c r="C31" s="40" t="str">
        <x:f>IFERROR(HYPERLINK("https://content.govdelivery.com/accounts/FLFFWCC/bulletins/1f2b53e","2018-05-25 · FWC bulletin"),"2018-05-25 · FWC bulletin")</x:f>
        <x:v>2018-05-25 · FWC bulletin</x:v>
      </x:c>
      <x:c r="D31" s="41" t="str">
        <x:v>Medium concentrations remained in Lee in the selected late-May report. This row does not describe all observations during May.</x:v>
      </x:c>
    </x:row>
    <x:row r="32" ht="68" customHeight="1">
      <x:c r="A32" s="52" t="str">
        <x:v>2019-02</x:v>
      </x:c>
      <x:c r="B32" s="44" t="str">
        <x:v>FWC report reproduced by START</x:v>
      </x:c>
      <x:c r="C32" s="43" t="str">
        <x:f>IFERROR(HYPERLINK("https://start1.org/red-tide-status/red-tide-status-report-february-22-2019/","2019-02-22 · START reproduction"),"2019-02-22 · START reproduction")</x:f>
        <x:v>2019-02-22 · START reproduction</x:v>
      </x:c>
      <x:c r="D32" s="44" t="str">
        <x:v>Report date February 22; posting date March 4. Fish kills and irritation are reported despite no detected K. brevis in that week's samples. These reports do not establish red tide causation or prove a contemporaneous bloom. This snapshot should not characterize all February.</x:v>
      </x:c>
    </x:row>
    <x:row r="33" ht="68" customHeight="1">
      <x:c r="A33" s="51" t="str">
        <x:v>2021-06</x:v>
      </x:c>
      <x:c r="B33" s="41" t="str">
        <x:v>Direct FWC GovDelivery bulletin</x:v>
      </x:c>
      <x:c r="C33" s="40" t="str">
        <x:f>IFERROR(HYPERLINK("https://content.govdelivery.com/accounts/FLFFWCC/bulletins/2e3a896","2021-06-11 · FWC bulletin"),"2021-06-11 · FWC bulletin")</x:f>
        <x:v>2021-06-11 · FWC bulletin</x:v>
      </x:c>
      <x:c r="D33" s="41" t="str">
        <x:v>The bulletin explicitly defines bloom concentrations as greater than 100,000 cells/L. The suspected causal qualification for fish kills is retained.</x:v>
      </x:c>
    </x:row>
    <x:row r="34" ht="68" customHeight="1">
      <x:c r="A34" s="52" t="str">
        <x:v>2021-06</x:v>
      </x:c>
      <x:c r="B34" s="44" t="str">
        <x:v>Direct FWC GovDelivery bulletin</x:v>
      </x:c>
      <x:c r="C34" s="43" t="str">
        <x:f>IFERROR(HYPERLINK("https://content.govdelivery.com/accounts/FLFFWCC/bulletins/2e449d9?reqfrom=share","2021-06-16 · FWC midweek update"),"2021-06-16 · FWC midweek update")</x:f>
        <x:v>2021-06-16 · FWC midweek update</x:v>
      </x:c>
      <x:c r="D34" s="44" t="str">
        <x:v>Official midweek update dated June 16. Pinellas ranges reach high, compared with medium in the June 11 bulletin. The 13 bloom-level samples are the sum of FWC's three county counts; overlapping sampling windows prevent treating bulletin totals as independent observations.</x:v>
      </x:c>
    </x:row>
    <x:row r="35" ht="68" customHeight="1">
      <x:c r="A35" s="51" t="str">
        <x:v>2021-06</x:v>
      </x:c>
      <x:c r="B35" s="41" t="str">
        <x:v>FWC report reproduced by START</x:v>
      </x:c>
      <x:c r="C35" s="40" t="str">
        <x:f>IFERROR(HYPERLINK("https://start1.org/red-tide-status/red-tide-status-report-june-25-2021/","2021-06-25 · START reproduction"),"2021-06-25 · START reproduction")</x:f>
        <x:v>2021-06-25 · START reproduction</x:v>
      </x:c>
      <x:c r="D35" s="41" t="str">
        <x:v>Report dated June 25, posted July 1; explicitly credited to FWC. The separate Piney Point/DEP update lower on the page is not used here. Original FWC bulletin URL not recovered. Gulf Coast sample totals include Pasco, outside this report's Southwest grouping.</x:v>
      </x:c>
    </x:row>
    <x:row r="36" ht="68" customHeight="1">
      <x:c r="A36" s="52" t="str">
        <x:v>2023-05</x:v>
      </x:c>
      <x:c r="B36" s="44" t="str">
        <x:v>FWC report reproduced by START</x:v>
      </x:c>
      <x:c r="C36" s="43" t="str">
        <x:f>IFERROR(HYPERLINK("https://start1.org/red-tide-status/red-tide-status-report-may-26-2023/","2023-05-26 · START reproduction"),"2023-05-26 · START reproduction")</x:f>
        <x:v>2023-05-26 · START reproduction</x:v>
      </x:c>
      <x:c r="D36" s="44" t="str">
        <x:v>Report date May 26; posting date June 1. The absence of bloom-level samples in this late-May snapshot is not a finding for the whole month. Suspected impacts are preserved as reports, not confirmed causal diagnoses.</x:v>
      </x:c>
    </x:row>
    <x:row r="37" ht="68" customHeight="1">
      <x:c r="A37" s="51" t="str">
        <x:v>All months</x:v>
      </x:c>
      <x:c r="B37" s="41" t="str">
        <x:v>Coverage</x:v>
      </x:c>
      <x:c r="C37" s="56" t="str">
        <x:v>Method</x:v>
      </x:c>
      <x:c r="D37" s="41" t="str">
        <x:v>Multiple accessible weekly and midweek reports are included where recovered. One row represents one report date; repeated months intentionally preserve separate evidence. This is a review of retrievable reports, not a complete archive census or a calculation of monthly maxima, means or event totals. Adjacent reports often cover overlapping sampling and impact-reporting windows.</x:v>
      </x:c>
    </x:row>
    <x:row r="38" ht="68" customHeight="1">
      <x:c r="A38" s="52" t="str">
        <x:v>All months</x:v>
      </x:c>
      <x:c r="B38" s="44" t="str">
        <x:v>Source hierarchy</x:v>
      </x:c>
      <x:c r="C38" s="58" t="str">
        <x:v>Method</x:v>
      </x:c>
      <x:c r="D38" s="44" t="str">
        <x:v>Direct FWC GovDelivery bulletins are preferred and identified in the link labels. START and Fly Life reproductions, and the SFWMD summary, are explicitly labeled as secondary hosting or wording. Original FWC URLs were not recovered for all dates. The February 24, 2017 START page lacks an explicit FWC courtesy credit and is flagged in its source note.</x:v>
      </x:c>
    </x:row>
    <x:row r="39" ht="68" customHeight="1">
      <x:c r="A39" s="51" t="str">
        <x:v>All months</x:v>
      </x:c>
      <x:c r="B39" s="41" t="str">
        <x:v>Quotation convention</x:v>
      </x:c>
      <x:c r="C39" s="56" t="str">
        <x:v>Method</x:v>
      </x:c>
      <x:c r="D39" s="41" t="str">
        <x:v>Quotation marks identify short verbatim excerpts from the linked source; typographic whitespace is normalized and ellipses mark omissions. Unquoted text is summarized. In the April 7, 2017 row, quoted wording is from SFWMD, not a recovered original FWC bulletin.</x:v>
      </x:c>
    </x:row>
    <x:row r="40" ht="68" customHeight="1">
      <x:c r="A40" s="52" t="str">
        <x:v>All months</x:v>
      </x:c>
      <x:c r="B40" s="44" t="str">
        <x:v>Missing-data convention</x:v>
      </x:c>
      <x:c r="C40" s="58" t="str">
        <x:v>Method</x:v>
      </x:c>
      <x:c r="D40" s="44" t="str">
        <x:v>Not stated means the retrieved bulletin or reproduction omits the topic. Not verified means the required narrative was not retrieved. Neither means no events occurred. An explicit negative statement applies only to the report’s specified sampling or reporting interval.</x:v>
      </x:c>
    </x:row>
    <x:row r="41" ht="68" customHeight="1">
      <x:c r="A41" s="51" t="str">
        <x:v>All months</x:v>
      </x:c>
      <x:c r="B41" s="41" t="str">
        <x:v>Geographic scope</x:v>
      </x:c>
      <x:c r="C41" s="56" t="str">
        <x:v>Method</x:v>
      </x:c>
      <x:c r="D41" s="41" t="str">
        <x:v>The table follows FWC’s Southwest Florida reporting geography, including Pinellas/Hillsborough south toward Monroe where reported. Coastal, estuarine and offshore locations are distinguished when the source does so. The evidence does not establish uniform conditions over the entire West Florida Shelf.</x:v>
      </x:c>
    </x:row>
    <x:row r="42" ht="74" customHeight="1">
      <x:c r="A42" s="52" t="str">
        <x:v>All months</x:v>
      </x:c>
      <x:c r="B42" s="44" t="str">
        <x:v>Concentration interpretation</x:v>
      </x:c>
      <x:c r="C42" s="43" t="str">
        <x:f>IFERROR(HYPERLINK("https://myfwc.com/research/redtide/statewide/","FWC concentration key"),"FWC concentration key")</x:f>
        <x:v>FWC concentration key</x:v>
      </x:c>
      <x:c r="D42" s="44" t="str">
        <x:v>Categories in the main table are reported ranges, not measured maxima for the whole month. Counts in parentheses are numbers of samples associated with those ranges, not numbers of bloom-level samples unless explicitly stated.
Background: ≤1,000 cells/L; very low: &gt;1,000–10,000; low: &gt;10,000–100,000; medium: &gt;100,000–1,000,000; high: &gt;1,000,000.</x:v>
      </x:c>
    </x:row>
    <x:row r="43" ht="68" customHeight="1">
      <x:c r="A43" s="51" t="str">
        <x:v>All months</x:v>
      </x:c>
      <x:c r="B43" s="41" t="str">
        <x:v>Bloom terminology</x:v>
      </x:c>
      <x:c r="C43" s="56" t="str">
        <x:v>Method</x:v>
      </x:c>
      <x:c r="D43" s="41" t="str">
        <x:v>FWC’s historical narrative wording is retained. Some older reports call the event a bloom even when that week’s listed concentrations peak at low. The June 2021 and May 2023 reports explicitly use &gt;100,000 cells/L as their bloom-concentration criterion. Do not infer a bloom merely from a background detection.</x:v>
      </x:c>
    </x:row>
    <x:row r="44" ht="68" customHeight="1">
      <x:c r="A44" s="52" t="str">
        <x:v>All months</x:v>
      </x:c>
      <x:c r="B44" s="44" t="str">
        <x:v>Impact interpretation</x:v>
      </x:c>
      <x:c r="C44" s="58" t="str">
        <x:v>Method</x:v>
      </x:c>
      <x:c r="D44" s="44" t="str">
        <x:v>Fish kills and respiratory irritation are reports received or observations described by the source. Their presence alongside K. brevis samples does not alone prove causation. The source’s explicit suspected-to-be-related qualification is preserved. A count of received reports is not a count of dead fish.</x:v>
      </x:c>
    </x:row>
    <x:row r="45" ht="68" customHeight="1">
      <x:c r="A45" s="51" t="str">
        <x:v>All months</x:v>
      </x:c>
      <x:c r="B45" s="41" t="str">
        <x:v>Research date</x:v>
      </x:c>
      <x:c r="C45" s="56" t="str">
        <x:v>2026-10-16</x:v>
      </x:c>
      <x:c r="D45" s="41" t="str">
        <x:v>Expanded review completed October 16, 2026. Twenty-eight dated reports or summaries cover 16 months; April 2013 remains a narrative-evidence gap. Sixteen dated reports link directly to FWC GovDelivery bulletins. Four additional START reproductions were added; two previously cited supplemental sources now have separate evidence rows.</x:v>
      </x:c>
    </x:row>
  </x:sheetData>
  <x:pageMargins left="0.7" right="0.7" top="0.75" bottom="0.75" header="0.3" footer="0.3"/>
</x:worksheet>
</file>