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87bff88038b4c36" /></Relationships>
</file>

<file path=xl/workbook.xml><?xml version="1.0" encoding="utf-8"?>
<x:workbook xmlns:x="http://schemas.openxmlformats.org/spreadsheetml/2006/main">
  <x:sheets>
    <x:sheet xmlns:r="http://schemas.openxmlformats.org/officeDocument/2006/relationships" name="Monthly evidence" sheetId="1" r:id="Re0336d1a21a4436c"/>
    <x:sheet xmlns:r="http://schemas.openxmlformats.org/officeDocument/2006/relationships" name="Sources and notes" sheetId="2" r:id="R1d47bf6406b9452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
  </x:numFmts>
  <x:fonts count="9">
    <x:font>
      <x:sz val="11"/>
      <x:name val="Carlito"/>
    </x:font>
    <x:font>
      <x:sz val="11"/>
      <x:color rgb="FF203441"/>
      <x:name val="Arial"/>
    </x:font>
    <x:font>
      <x:b/>
      <x:sz val="17"/>
      <x:color rgb="FF16364A"/>
      <x:name val="Arial"/>
    </x:font>
    <x:font>
      <x:i/>
      <x:sz val="11"/>
      <x:color rgb="FF526B79"/>
      <x:name val="Arial"/>
    </x:font>
    <x:font>
      <x:sz val="11"/>
      <x:color rgb="FF526B79"/>
      <x:name val="Arial"/>
    </x:font>
    <x:font>
      <x:b/>
      <x:sz val="11"/>
      <x:color rgb="FFFFFFFF"/>
      <x:name val="Arial"/>
    </x:font>
    <x:font>
      <x:b/>
      <x:sz val="11"/>
      <x:color rgb="FF16364A"/>
      <x:name val="Arial"/>
    </x:font>
    <x:font>
      <x:u val="single"/>
      <x:sz val="11"/>
      <x:color rgb="FF12618A"/>
      <x:name val="Arial"/>
    </x:font>
    <x:font>
      <x:sz val="11"/>
      <x:color rgb="FF7A4C00"/>
      <x:name val="Arial"/>
    </x:font>
  </x:fonts>
  <x:fills count="6">
    <x:fill>
      <x:patternFill patternType="none"/>
    </x:fill>
    <x:fill>
      <x:patternFill patternType="gray125"/>
    </x:fill>
    <x:fill>
      <x:patternFill patternType="solid">
        <x:fgColor rgb="FF16364A"/>
      </x:patternFill>
    </x:fill>
    <x:fill>
      <x:patternFill patternType="solid">
        <x:fgColor rgb="FFFFFFFF"/>
      </x:patternFill>
    </x:fill>
    <x:fill>
      <x:patternFill patternType="solid">
        <x:fgColor rgb="FFF0F5F7"/>
      </x:patternFill>
    </x:fill>
    <x:fill>
      <x:patternFill patternType="solid">
        <x:fgColor rgb="FFFFF3D6"/>
      </x:patternFill>
    </x:fill>
  </x:fills>
  <x:borders count="6">
    <x:border>
      <x:left/>
      <x:right/>
      <x:top/>
      <x:bottom/>
      <x:diagonal/>
    </x:border>
    <x:border>
      <x:left/>
      <x:right/>
      <x:top/>
      <x:bottom style="thin">
        <x:color rgb="FFA8BAC5"/>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
      <x:left/>
      <x:right/>
      <x:top/>
      <x:bottom style="thin">
        <x:color rgb="FFDCE5EA"/>
      </x:bottom>
      <x:diagonal/>
    </x:border>
  </x:borders>
  <x:cellStyleXfs count="1">
    <x:xf numFmtId="0" fontId="0" fillId="0" borderId="0"/>
  </x:cellStyleXfs>
  <x:cellXfs count="39">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4"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5" fillId="2" borderId="0" xfId="0" applyNumberFormat="1" applyFont="1" applyFill="1" applyBorder="1"/>
    <x:xf numFmtId="0" fontId="5" fillId="2" borderId="2" xfId="0" applyNumberFormat="1" applyFont="1" applyFill="1" applyBorder="1"/>
    <x:xf numFmtId="0" fontId="5" fillId="2" borderId="3" xfId="0" applyNumberFormat="1" applyFont="1" applyFill="1" applyBorder="1"/>
    <x:xf numFmtId="0" fontId="5" fillId="2" borderId="4" xfId="0" applyNumberFormat="1" applyFont="1" applyFill="1" applyBorder="1"/>
    <x:xf numFmtId="0" fontId="5" fillId="2" borderId="2" xfId="0" applyNumberFormat="1" applyFont="1" applyFill="1" applyBorder="1" applyAlignment="1">
      <x:alignment wrapText="1"/>
    </x:xf>
    <x:xf numFmtId="0" fontId="5" fillId="2" borderId="3" xfId="0" applyNumberFormat="1" applyFont="1" applyFill="1" applyBorder="1" applyAlignment="1">
      <x:alignment wrapText="1"/>
    </x:xf>
    <x:xf numFmtId="0" fontId="5" fillId="2" borderId="4" xfId="0" applyNumberFormat="1" applyFont="1" applyFill="1" applyBorder="1" applyAlignment="1">
      <x:alignment wrapText="1"/>
    </x:xf>
    <x:xf numFmtId="0" fontId="5" fillId="2" borderId="2" xfId="0" applyNumberFormat="1" applyFont="1" applyFill="1" applyBorder="1" applyAlignment="1">
      <x:alignment horizontal="center" wrapText="1"/>
    </x:xf>
    <x:xf numFmtId="0" fontId="5" fillId="2" borderId="3" xfId="0" applyNumberFormat="1" applyFont="1" applyFill="1" applyBorder="1" applyAlignment="1">
      <x:alignment horizontal="center" wrapText="1"/>
    </x:xf>
    <x:xf numFmtId="0" fontId="5" fillId="2" borderId="4" xfId="0" applyNumberFormat="1" applyFont="1" applyFill="1" applyBorder="1" applyAlignment="1">
      <x:alignment horizontal="center" wrapText="1"/>
    </x:xf>
    <x:xf numFmtId="0" fontId="5" fillId="2" borderId="2" xfId="0" applyNumberFormat="1" applyFont="1" applyFill="1" applyBorder="1" applyAlignment="1">
      <x:alignment horizontal="center" vertical="center" wrapText="1"/>
    </x:xf>
    <x:xf numFmtId="0" fontId="5" fillId="2" borderId="3" xfId="0" applyNumberFormat="1" applyFont="1" applyFill="1" applyBorder="1" applyAlignment="1">
      <x:alignment horizontal="center" vertical="center" wrapText="1"/>
    </x:xf>
    <x:xf numFmtId="0" fontId="5" fillId="2" borderId="4" xfId="0" applyNumberFormat="1" applyFont="1" applyFill="1" applyBorder="1" applyAlignment="1">
      <x:alignment horizontal="center" vertical="center"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1" fillId="3" borderId="5"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4" borderId="5" xfId="0" applyNumberFormat="1" applyFont="1" applyFill="1" applyBorder="1" applyAlignment="1">
      <x:alignment vertical="top" wrapText="1"/>
    </x:xf>
    <x:xf numFmtId="200" fontId="1" fillId="3" borderId="5" xfId="0" applyNumberFormat="1" applyFont="1" applyFill="1" applyBorder="1" applyAlignment="1">
      <x:alignment vertical="top" wrapText="1"/>
    </x:xf>
    <x:xf numFmtId="200" fontId="1" fillId="4" borderId="5" xfId="0" applyNumberFormat="1" applyFont="1" applyFill="1" applyBorder="1" applyAlignment="1">
      <x:alignment vertical="top" wrapText="1"/>
    </x:xf>
    <x:xf numFmtId="200" fontId="6" fillId="3" borderId="5" xfId="0" applyNumberFormat="1" applyFont="1" applyFill="1" applyBorder="1" applyAlignment="1">
      <x:alignment vertical="top" wrapText="1"/>
    </x:xf>
    <x:xf numFmtId="200" fontId="6" fillId="4" borderId="5" xfId="0" applyNumberFormat="1" applyFont="1" applyFill="1" applyBorder="1" applyAlignment="1">
      <x:alignment vertical="top" wrapText="1"/>
    </x:xf>
    <x:xf numFmtId="0" fontId="7" fillId="3" borderId="5" xfId="0" applyNumberFormat="1" applyFont="1" applyFill="1" applyBorder="1" applyAlignment="1">
      <x:alignment vertical="top" wrapText="1"/>
    </x:xf>
    <x:xf numFmtId="0" fontId="7" fillId="4" borderId="5" xfId="0" applyNumberFormat="1" applyFont="1" applyFill="1" applyBorder="1" applyAlignment="1">
      <x:alignment vertical="top" wrapText="1"/>
    </x:xf>
    <x:xf numFmtId="200" fontId="6" fillId="5" borderId="5" xfId="0" applyNumberFormat="1" applyFont="1" applyFill="1" applyBorder="1" applyAlignment="1">
      <x:alignment vertical="top" wrapText="1"/>
    </x:xf>
    <x:xf numFmtId="0" fontId="7" fillId="5" borderId="5" xfId="0" applyNumberFormat="1" applyFont="1" applyFill="1" applyBorder="1" applyAlignment="1">
      <x:alignment vertical="top" wrapText="1"/>
    </x:xf>
    <x:xf numFmtId="0" fontId="1" fillId="5" borderId="5" xfId="0" applyNumberFormat="1" applyFont="1" applyFill="1" applyBorder="1" applyAlignment="1">
      <x:alignment vertical="top" wrapText="1"/>
    </x:xf>
    <x:xf numFmtId="0" fontId="8" fillId="5" borderId="5" xfId="0" applyNumberFormat="1" applyFont="1" applyFill="1" applyBorder="1" applyAlignment="1">
      <x:alignment vertical="top" wrapText="1"/>
    </x:xf>
    <x:xf numFmtId="0" fontId="6" fillId="3" borderId="5" xfId="0" applyNumberFormat="1" applyFont="1" applyFill="1" applyBorder="1" applyAlignment="1">
      <x:alignment vertical="top" wrapText="1"/>
    </x:xf>
    <x:xf numFmtId="0" fontId="6" fillId="4" borderId="5" xfId="0" applyNumberFormat="1" applyFont="1" applyFill="1" applyBorder="1" applyAlignment="1">
      <x:alignment vertical="top" wrapText="1"/>
    </x:xf>
    <x:xf numFmtId="0" fontId="6" fillId="5" borderId="5"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353980565054d2f" /><Relationship Type="http://schemas.openxmlformats.org/officeDocument/2006/relationships/theme" Target="/xl/theme/theme1.xml" Id="Rcf439f85c74a40b4" /><Relationship Type="http://schemas.openxmlformats.org/officeDocument/2006/relationships/sharedStrings" Target="/xl/sharedStrings.xml" Id="R9558dd6cc2bc4602" /><Relationship Type="http://schemas.openxmlformats.org/officeDocument/2006/relationships/worksheet" Target="/xl/worksheets/sheet1.xml" Id="Re0336d1a21a4436c" /><Relationship Type="http://schemas.openxmlformats.org/officeDocument/2006/relationships/worksheet" Target="/xl/worksheets/sheet2.xml" Id="R1d47bf6406b94528" /></Relationships>
</file>

<file path=xl/tables/table1.xml><?xml version="1.0" encoding="utf-8"?>
<x:table xmlns:x="http://schemas.openxmlformats.org/spreadsheetml/2006/main" id="1" name="FWC_Evidence" displayName="FWC_Evidence" ref="A6:F23" headerRowCount="1" totalsRowCount="0" totalsRowShown="0">
  <x:tableColumns count="6">
    <x:tableColumn id="1" name="Month"/>
    <x:tableColumn id="2" name="Link to FWC report"/>
    <x:tableColumn id="3" name="Bloom characterization and geographic location"/>
    <x:tableColumn id="4" name="Concentration levels"/>
    <x:tableColumn id="5" name="Fish kills reported"/>
    <x:tableColumn id="6" name="Respiratory irritation reporte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8c3c6bf563b4c41" /></Relationships>
</file>

<file path=xl/worksheets/sheet1.xml><?xml version="1.0" encoding="utf-8"?>
<x:worksheet xmlns:x="http://schemas.openxmlformats.org/spreadsheetml/2006/main">
  <x:sheetPr>
    <x:tabColor rgb="FF16364A"/>
  </x:sheetPr>
  <x:sheetViews>
    <x:sheetView showGridLines="0" workbookViewId="0">
      <x:pane ySplit="6" topLeftCell="A7" activePane="bottomLeft" state="frozen"/>
    </x:sheetView>
  </x:sheetViews>
  <x:sheetFormatPr defaultRowHeight="15"/>
  <x:cols>
    <x:col min="1" max="1" width="10.220000267028809" hidden="0" customWidth="1"/>
    <x:col min="2" max="2" width="24.440000534057617" hidden="0" customWidth="1"/>
    <x:col min="3" max="3" width="37.779998779296875" hidden="0" customWidth="1"/>
    <x:col min="4" max="4" width="41.66999816894531" hidden="0" customWidth="1"/>
    <x:col min="5" max="5" width="38.88999938964844" hidden="0" customWidth="1"/>
    <x:col min="6" max="6" width="36.66999816894531" hidden="0" customWidth="1"/>
  </x:cols>
  <x:sheetData>
    <x:row r="1" ht="12" customHeight="1">
      <x:c r="A1" s="1"/>
      <x:c r="B1" s="1"/>
      <x:c r="C1" s="1"/>
      <x:c r="D1" s="1"/>
      <x:c r="E1" s="1"/>
      <x:c r="F1" s="1"/>
    </x:row>
    <x:row r="2" ht="27" customHeight="1">
      <x:c r="A2" s="2" t="str">
        <x:v>FWC red tide evidence | 17 requested months</x:v>
      </x:c>
      <x:c r="B2" s="1"/>
      <x:c r="C2" s="1"/>
      <x:c r="D2" s="1"/>
      <x:c r="E2" s="1"/>
      <x:c r="F2" s="1"/>
    </x:row>
    <x:row r="3" ht="22" customHeight="1">
      <x:c r="A3" s="3" t="str">
        <x:v>Selected dated reports for Southwest Florida and the adjacent West Florida Shelf; not whole-month summaries.</x:v>
      </x:c>
      <x:c r="B3" s="1"/>
      <x:c r="C3" s="1"/>
      <x:c r="D3" s="1"/>
      <x:c r="E3" s="1"/>
      <x:c r="F3" s="1"/>
    </x:row>
    <x:row r="4" ht="22" customHeight="1">
      <x:c r="A4" s="4" t="str">
        <x:v>Quotation marks identify verbatim excerpts; … marks omissions. Unquoted text is summarized. Source details and limitations are on the second sheet.</x:v>
      </x:c>
      <x:c r="B4" s="1"/>
      <x:c r="C4" s="1"/>
      <x:c r="D4" s="1"/>
      <x:c r="E4" s="1"/>
      <x:c r="F4" s="1"/>
    </x:row>
    <x:row r="5" ht="8" customHeight="1">
      <x:c r="A5" s="5"/>
      <x:c r="B5" s="5"/>
      <x:c r="C5" s="5"/>
      <x:c r="D5" s="5"/>
      <x:c r="E5" s="5"/>
      <x:c r="F5" s="5"/>
    </x:row>
    <x:row r="6" ht="44" customHeight="1">
      <x:c r="A6" s="17" t="str">
        <x:v>Month</x:v>
      </x:c>
      <x:c r="B6" s="18" t="str">
        <x:v>Link to FWC report</x:v>
      </x:c>
      <x:c r="C6" s="18" t="str">
        <x:v>Bloom characterization and geographic location</x:v>
      </x:c>
      <x:c r="D6" s="18" t="str">
        <x:v>Concentration levels</x:v>
      </x:c>
      <x:c r="E6" s="18" t="str">
        <x:v>Fish kills reported</x:v>
      </x:c>
      <x:c r="F6" s="19" t="str">
        <x:v>Respiratory irritation reported</x:v>
      </x:c>
    </x:row>
    <x:row r="7" ht="84" customHeight="1">
      <x:c r="A7" s="28" t="d">
        <x:v>2012-03-01T00:00:00.000Z</x:v>
      </x:c>
      <x:c r="B7" s="30" t="str">
        <x:f>IFERROR(HYPERLINK("https://start1.org/red-tide-status/03-23-12/","2012-03-23 · FWC/FWRI reproduction"),"2012-03-23 · FWC/FWRI reproduction")</x:f>
        <x:v>2012-03-23 · FWC/FWRI reproduction</x:v>
      </x:c>
      <x:c r="C7" s="23" t="str">
        <x:v>“was not detected … alongshore of Pinellas, Hillsborough, Manatee, Sarasota and Charlotte counties or alongshore of the Florida Keys”</x:v>
      </x:c>
      <x:c r="D7" s="23" t="str">
        <x:v>Lee: background (1 sample). Collier: background (1). Not detected in sampled waters of Pinellas, Hillsborough, Manatee, Sarasota, Charlotte or the Florida Keys.</x:v>
      </x:c>
      <x:c r="E7" s="23" t="str">
        <x:v>Not stated in the retrieved reproduction.</x:v>
      </x:c>
      <x:c r="F7" s="23" t="str">
        <x:v>Not stated in the retrieved reproduction.</x:v>
      </x:c>
    </x:row>
    <x:row r="8" ht="110" customHeight="1">
      <x:c r="A8" s="29" t="d">
        <x:v>2013-03-01T00:00:00.000Z</x:v>
      </x:c>
      <x:c r="B8" s="31" t="str">
        <x:f>IFERROR(HYPERLINK("https://flylifemagazine.com/environment-red-tide-persists-along-sw-coast-of-florida/","2013-03-11 · FWC report reproduction"),"2013-03-11 · FWC report reproduction")</x:f>
        <x:v>2013-03-11 · FWC report reproduction</x:v>
      </x:c>
      <x:c r="C8" s="25" t="str">
        <x:v>“bloom of Karenia brevis, the Florida red tide organism, persists in some parts of southwest Florida”
Extent summarized: about 70 coastal miles, Sarasota through central Lee; highest concentrations along Charlotte and offshore Lee.</x:v>
      </x:c>
      <x:c r="D8" s="25" t="str">
        <x:v>Sarasota, alongshore/inshore: very low–medium, patchy. Pine Island Sound (Lee): very low–low. Charlotte alongshore and Lee offshore: highest concentrations, but no category or number specified for those maxima.</x:v>
      </x:c>
      <x:c r="E8" s="25" t="str">
        <x:v>Not stated in the retrieved reproduction.</x:v>
      </x:c>
      <x:c r="F8" s="25" t="str">
        <x:v>Not stated in the retrieved reproduction.</x:v>
      </x:c>
    </x:row>
    <x:row r="9" ht="84" customHeight="1">
      <x:c r="A9" s="32" t="d">
        <x:v>2013-04-01T00:00:00.000Z</x:v>
      </x:c>
      <x:c r="B9" s="33" t="str">
        <x:f>IFERROR(HYPERLINK("https://www.flickr.com/photos/myfwc/9678637547/","FWC April 2013 map · narrative unavailable"),"FWC April 2013 map · narrative unavailable")</x:f>
        <x:v>FWC April 2013 map · narrative unavailable</x:v>
      </x:c>
      <x:c r="C9" s="35" t="str">
        <x:v>NOT VERIFIED: no April 2013 FWC narrative report retrieved. The official monthly-map page was located, but it supplies no narrative characterization to quote.</x:v>
      </x:c>
      <x:c r="D9" s="35" t="str">
        <x:v>Not verified from retrieved text. The map image could not be inspected, so no concentration categories or locations were transcribed.</x:v>
      </x:c>
      <x:c r="E9" s="35" t="str">
        <x:v>Not verified: narrative report unavailable.</x:v>
      </x:c>
      <x:c r="F9" s="35" t="str">
        <x:v>Not verified: narrative report unavailable.</x:v>
      </x:c>
    </x:row>
    <x:row r="10" ht="84" customHeight="1">
      <x:c r="A10" s="29" t="d">
        <x:v>2013-10-01T00:00:00.000Z</x:v>
      </x:c>
      <x:c r="B10" s="31" t="str">
        <x:f>IFERROR(HYPERLINK("https://start1.org/red-tide-status/red-tide-update-october-11-2013/","2013-10-11 · FWC/FWRI reproduction"),"2013-10-11 · FWC/FWRI reproduction")</x:f>
        <x:v>2013-10-11 · FWC/FWRI reproduction</x:v>
      </x:c>
      <x:c r="C10" s="25" t="str">
        <x:v>“ranging from background to low concentrations … in, along and offshore of Pinellas County south to Lee County.”</x:v>
      </x:c>
      <x:c r="D10" s="25" t="str">
        <x:v>Pinellas south to Lee: background–low across several inshore, coastal and offshore locations. No county-specific breakdown in the reproduction. Other Florida samples were negative for K. brevis.</x:v>
      </x:c>
      <x:c r="E10" s="25" t="str">
        <x:v>Not stated for Southwest Florida. The reproduction mentions fish kills in the Indian River Lagoon associated with other algal taxa; those are outside this table's scope.</x:v>
      </x:c>
      <x:c r="F10" s="25" t="str">
        <x:v>Not stated in the retrieved reproduction.</x:v>
      </x:c>
    </x:row>
    <x:row r="11" ht="84" customHeight="1">
      <x:c r="A11" s="28" t="d">
        <x:v>2016-03-01T00:00:00.000Z</x:v>
      </x:c>
      <x:c r="B11" s="30" t="str">
        <x:f>IFERROR(HYPERLINK("https://content.govdelivery.com/accounts/FLFFWCC/bulletins/13c52be","2016-03-11 · FWC bulletin"),"2016-03-11 · FWC bulletin")</x:f>
        <x:v>2016-03-11 · FWC bulletin</x:v>
      </x:c>
      <x:c r="C11" s="23" t="str">
        <x:v>“persists in background to low concentrations … in Southwest Florida.”</x:v>
      </x:c>
      <x:c r="D11" s="23" t="str">
        <x:v>Southwest Florida: background–low across several areas; no county-level concentration breakdown in the bulletin. Separate Northwest Florida observations are excluded here.</x:v>
      </x:c>
      <x:c r="E11" s="23" t="str">
        <x:v>“Fish kills have been reported … between southern Collier County and northern Monroe County”</x:v>
      </x:c>
      <x:c r="F11" s="23" t="str">
        <x:v>Not stated in the bulletin.</x:v>
      </x:c>
    </x:row>
    <x:row r="12" ht="84" customHeight="1">
      <x:c r="A12" s="29" t="d">
        <x:v>2016-04-01T00:00:00.000Z</x:v>
      </x:c>
      <x:c r="B12" s="31" t="str">
        <x:f>IFERROR(HYPERLINK("https://content.govdelivery.com/accounts/FLFFWCC/bulletins/1465a5f","2016-04-29 · FWC bulletin"),"2016-04-29 · FWC bulletin")</x:f>
        <x:v>2016-04-29 · FWC bulletin</x:v>
      </x:c>
      <x:c r="C12" s="25" t="str">
        <x:v>“A bloom … persists along Pinellas, Manatee, Sarasota, Charlotte, and northern Lee counties in Southwest Florida.”</x:v>
      </x:c>
      <x:c r="D12" s="25" t="str">
        <x:v>April 29 reproduction: Pinellas background–very low (4 samples); Manatee background–low (6); Sarasota background–low (32); Charlotte background–low (9); northern Lee very low (2). See supplemental source in Sources and notes.</x:v>
      </x:c>
      <x:c r="E12" s="25" t="str">
        <x:v>“No fish kills were reported”
This statement applies to Southwest Florida over the preceding week.</x:v>
      </x:c>
      <x:c r="F12" s="25" t="str">
        <x:v>Not stated in the bulletin or same-date reproduction.</x:v>
      </x:c>
    </x:row>
    <x:row r="13" ht="84" customHeight="1">
      <x:c r="A13" s="28" t="d">
        <x:v>2017-01-01T00:00:00.000Z</x:v>
      </x:c>
      <x:c r="B13" s="30" t="str">
        <x:f>IFERROR(HYPERLINK("https://content.govdelivery.com/accounts/FLFFWCC/bulletins/181cb1c?reqfrom=share","2017-01-20 · FWC bulletin"),"2017-01-20 · FWC bulletin")</x:f>
        <x:v>2017-01-20 · FWC bulletin</x:v>
      </x:c>
      <x:c r="C13" s="23" t="str">
        <x:v>“A bloom … with patches observed from Pinellas to Lee counties.”</x:v>
      </x:c>
      <x:c r="D13" s="23" t="str">
        <x:v>Pinellas background–low (9 samples); Hillsborough background–medium (5); Manatee background–medium (20); Sarasota background–high (30); Charlotte background (4); Lee background–very low (5).</x:v>
      </x:c>
      <x:c r="E13" s="23" t="str">
        <x:v>“Fish kills were reported … Pinellas County … Lee County … Manatee and Sarasota counties”
Dates summarized: Pinellas Jan 12, 13, 15, 17; Lee Jan 13; Manatee and Sarasota Jan 19.</x:v>
      </x:c>
      <x:c r="F13" s="23" t="str">
        <x:v>Yes—Lee on January 13; Manatee and Sarasota on January 19.</x:v>
      </x:c>
    </x:row>
    <x:row r="14" ht="84" customHeight="1">
      <x:c r="A14" s="29" t="d">
        <x:v>2017-02-01T00:00:00.000Z</x:v>
      </x:c>
      <x:c r="B14" s="31" t="str">
        <x:f>IFERROR(HYPERLINK("https://content.govdelivery.com/accounts/FLFFWCC/bulletins/18681fd?reqfrom=share","Sent 2017-02-10 · title says 2.7.17"),"Sent 2017-02-10 · title says 2.7.17")</x:f>
        <x:v>Sent 2017-02-10 · title says 2.7.17</x:v>
      </x:c>
      <x:c r="C14" s="25" t="str">
        <x:v>“A bloom … persists in Southwest Florida from southern Pinellas to Lee counties.”</x:v>
      </x:c>
      <x:c r="D14" s="25" t="str">
        <x:v>Pinellas background–very low (2 samples); Manatee background–medium (9); Sarasota background–high (28); Charlotte background–medium (5); Lee background–high (12); Collier background (1).</x:v>
      </x:c>
      <x:c r="E14" s="25" t="str">
        <x:v>“Fish kills were reported … (Sarasota County), and Bonita Beach (Lee County)”
Sarasota sites summarized: Siesta Key, Siesta Beach and Nokomis.</x:v>
      </x:c>
      <x:c r="F14" s="25" t="str">
        <x:v>Yes—Lido Beach, Sarasota County, during the preceding week.</x:v>
      </x:c>
    </x:row>
    <x:row r="15" ht="84" customHeight="1">
      <x:c r="A15" s="28" t="d">
        <x:v>2017-03-01T00:00:00.000Z</x:v>
      </x:c>
      <x:c r="B15" s="30" t="str">
        <x:f>IFERROR(HYPERLINK("https://content.govdelivery.com/accounts/FLFFWCC/bulletins/18c8f3e","2017-03-10 · FWC bulletin"),"2017-03-10 · FWC bulletin")</x:f>
        <x:v>2017-03-10 · FWC bulletin</x:v>
      </x:c>
      <x:c r="C15" s="23" t="str">
        <x:v>“A bloom … persists in Southwest Florida from southern Pinellas to Lee counties.”</x:v>
      </x:c>
      <x:c r="D15" s="23" t="str">
        <x:v>Pinellas very low–low (4 samples); Manatee background–low (8); Sarasota background–medium (29); Charlotte very low–low (2); Lee background–low (6); Collier background (1).</x:v>
      </x:c>
      <x:c r="E15" s="23" t="str">
        <x:v>“A small fish kill was reported 3/7 at Coquina Beach (Manatee County).”</x:v>
      </x:c>
      <x:c r="F15" s="23" t="str">
        <x:v>Yes—Nokomis, Manasota Beach and Captiva during the preceding week.</x:v>
      </x:c>
    </x:row>
    <x:row r="16" ht="110" customHeight="1">
      <x:c r="A16" s="29" t="d">
        <x:v>2017-04-01T00:00:00.000Z</x:v>
      </x:c>
      <x:c r="B16" s="31" t="str">
        <x:f>IFERROR(HYPERLINK("https://start1.org/red-tide-status/red-tide-status-report-april-21-2017/","2017-04-21 · FWC reproduction"),"2017-04-21 · FWC reproduction")</x:f>
        <x:v>2017-04-21 · FWC reproduction</x:v>
      </x:c>
      <x:c r="C16" s="25" t="str">
        <x:v>April 21: “The Florida red tide organism, Karenia brevis, persists at background to very low concentrations in Southwest Florida.”</x:v>
      </x:c>
      <x:c r="D16" s="25" t="str">
        <x:v>April 21: Pinellas background (1 sample); Sarasota background–very low (6); Lee background–very low (6). Earlier April 7 FWC findings, summarized by SFWMD: Lee background–low (21).</x:v>
      </x:c>
      <x:c r="E16" s="25" t="str">
        <x:v>April 21 reproduction: not stated.
April 7 findings, as reported by SFWMD: “Fish kills were reported at Bonita Beach in Lee County.”</x:v>
      </x:c>
      <x:c r="F16" s="25" t="str">
        <x:v>April 7 findings: yes—Bowman’s Beach, Lee County, per SFWMD's account of FWC. April 21 reproduction: not stated.</x:v>
      </x:c>
    </x:row>
    <x:row r="17" ht="84" customHeight="1">
      <x:c r="A17" s="28" t="d">
        <x:v>2018-02-01T00:00:00.000Z</x:v>
      </x:c>
      <x:c r="B17" s="30" t="str">
        <x:f>IFERROR(HYPERLINK("https://content.govdelivery.com/accounts/FLFFWCC/bulletins/1de8d03","2018-02-28 · FWC midweek update"),"2018-02-28 · FWC midweek update")</x:f>
        <x:v>2018-02-28 · FWC midweek update</x:v>
      </x:c>
      <x:c r="C17" s="23" t="str">
        <x:v>“A patchy bloom … persists in Southwest Florida.”</x:v>
      </x:c>
      <x:c r="D17" s="23" t="str">
        <x:v>Pinellas background (1 sample); Lee, from/offshore, very low–medium (13); Collier background–very low (3).</x:v>
      </x:c>
      <x:c r="E17" s="23" t="str">
        <x:v>“More than 20 fish kill reports were received for Lee County;”
Additional locations summarized: Barefoot Beach, Collier (Feb 27); Red Bay Bank, offshore Monroe (Feb 21). Lee reports cover several coastal and estuarine sites.</x:v>
      </x:c>
      <x:c r="F17" s="23" t="str">
        <x:v>Yes—Lee: Lovers Key State Park (Feb 26–27), Causeway Islands (Feb 26), Bowman’s Beach (Feb 25). Collier: Barefoot Beach (Feb 27).</x:v>
      </x:c>
    </x:row>
    <x:row r="18" ht="84" customHeight="1">
      <x:c r="A18" s="29" t="d">
        <x:v>2018-03-01T00:00:00.000Z</x:v>
      </x:c>
      <x:c r="B18" s="31" t="str">
        <x:f>IFERROR(HYPERLINK("https://content.govdelivery.com/accounts/FLFFWCC/bulletins/1e59281","2018-03-28 · FWC midweek update"),"2018-03-28 · FWC midweek update")</x:f>
        <x:v>2018-03-28 · FWC midweek update</x:v>
      </x:c>
      <x:c r="C18" s="25" t="str">
        <x:v>“A bloom of the Florida red tide organism, Karenia brevis, persists in Southwest Florida.”</x:v>
      </x:c>
      <x:c r="D18" s="25" t="str">
        <x:v>Sarasota background (1 sample); Charlotte low (1); Lee, from/offshore, very low–medium (13); Collier low–high (6).</x:v>
      </x:c>
      <x:c r="E18" s="25" t="str">
        <x:v>“fish kills were reported … Lee … and Collier”
Sites summarized: Bonita Beach, Bowman’s Beach, Gasparilla Island Range Lighthouse; Barefoot, South Marco, Vanderbilt and Naples beaches.</x:v>
      </x:c>
      <x:c r="F18" s="25" t="str">
        <x:v>Yes—Sarasota: Nokomis Beach. Lee: Bonita Beach and Gasparilla Island Range Lighthouse. Collier: Barefoot, South Marco, Seagate and Vanderbilt beaches. Reported dates fall March 21–27.</x:v>
      </x:c>
    </x:row>
    <x:row r="19" ht="84" customHeight="1">
      <x:c r="A19" s="28" t="d">
        <x:v>2018-04-01T00:00:00.000Z</x:v>
      </x:c>
      <x:c r="B19" s="30" t="str">
        <x:f>IFERROR(HYPERLINK("https://content.govdelivery.com/accounts/FLFFWCC/bulletins/1eca7bf","2018-04-27 · FWC bulletin"),"2018-04-27 · FWC bulletin")</x:f>
        <x:v>2018-04-27 · FWC bulletin</x:v>
      </x:c>
      <x:c r="C19" s="23" t="str">
        <x:v>“A bloom of the Florida red tide organism, Karenia brevis, persists in Southwest Florida.”</x:v>
      </x:c>
      <x:c r="D19" s="23" t="str">
        <x:v>Samples from or offshore of each county: Charlotte background–low (7); Lee background–high (36); Collier very low–high (15); Monroe very low (2).</x:v>
      </x:c>
      <x:c r="E19" s="23" t="str">
        <x:v>“fish kills were reported … Lee County … and Collier County”
The bulletin lists nine Lee locations and six Collier locations.</x:v>
      </x:c>
      <x:c r="F19" s="23" t="str">
        <x:v>Yes—Lee: Bonita Beach, Lovers Key and Lynn Hall Beach Park. Collier: Barefoot Beach, Clam Bay, Seagate Beach and Vanderbilt Beach. Observation dates span April 19–26.</x:v>
      </x:c>
    </x:row>
    <x:row r="20" ht="84" customHeight="1">
      <x:c r="A20" s="29" t="d">
        <x:v>2018-05-01T00:00:00.000Z</x:v>
      </x:c>
      <x:c r="B20" s="31" t="str">
        <x:f>IFERROR(HYPERLINK("https://content.govdelivery.com/accounts/FLFFWCC/bulletins/1f2b53e","2018-05-25 · FWC bulletin"),"2018-05-25 · FWC bulletin")</x:f>
        <x:v>2018-05-25 · FWC bulletin</x:v>
      </x:c>
      <x:c r="C20" s="25" t="str">
        <x:v>“A bloom of the Florida red tide organism, Karenia brevis, persists in Southwest Florida.”</x:v>
      </x:c>
      <x:c r="D20" s="25" t="str">
        <x:v>Pinellas background (1 sample); Manatee background (1); Charlotte very low (1); Lee, from/offshore, background–medium (17); Collier background (1).</x:v>
      </x:c>
      <x:c r="E20" s="25" t="str">
        <x:v>“fish kills were reported … Lee County … and Collier County”
Sites summarized: Bonita Beach (Lee) and Barefoot Beach (Collier).</x:v>
      </x:c>
      <x:c r="F20" s="25" t="str">
        <x:v>Yes—Newton Park, Lee County, on May 24.</x:v>
      </x:c>
    </x:row>
    <x:row r="21" ht="84" customHeight="1">
      <x:c r="A21" s="28" t="d">
        <x:v>2019-02-01T00:00:00.000Z</x:v>
      </x:c>
      <x:c r="B21" s="30" t="str">
        <x:f>IFERROR(HYPERLINK("https://start1.org/red-tide-status/red-tide-status-report-february-22-2019/","2019-02-22 · FWC reproduction"),"2019-02-22 · FWC reproduction")</x:f>
        <x:v>2019-02-22 · FWC reproduction</x:v>
      </x:c>
      <x:c r="C21" s="23" t="str">
        <x:v>“In Southwest Florida over the past week, K. brevis was not observed.”</x:v>
      </x:c>
      <x:c r="D21" s="23" t="str">
        <x:v>Not observed in the week's Southwest Florida samples; the reproduction also reports no observations in Northwest Florida or on the East Coast.</x:v>
      </x:c>
      <x:c r="E21" s="23" t="str">
        <x:v>“fish kill reports were received for Collier County”</x:v>
      </x:c>
      <x:c r="F21" s="23" t="str">
        <x:v>Yes—Pinellas, Manatee and Lee counties.</x:v>
      </x:c>
    </x:row>
    <x:row r="22" ht="110" customHeight="1">
      <x:c r="A22" s="29" t="d">
        <x:v>2021-06-01T00:00:00.000Z</x:v>
      </x:c>
      <x:c r="B22" s="31" t="str">
        <x:f>IFERROR(HYPERLINK("https://content.govdelivery.com/accounts/FLFFWCC/bulletins/2e3a896","2021-06-11 · FWC bulletin"),"2021-06-11 · FWC bulletin")</x:f>
        <x:v>2021-06-11 · FWC bulletin</x:v>
      </x:c>
      <x:c r="C22" s="25" t="str">
        <x:v>“A patchy bloom … persists in Southwest Florida.”</x:v>
      </x:c>
      <x:c r="D22" s="25" t="str">
        <x:v>Pinellas very low–medium; Hillsborough and Manatee background–medium (all in/offshore). Sarasota background (in/offshore); Charlotte low; Lee and Collier background–medium. Detected in 71 samples; 17 exceeded 100,000 cells/L: Pinellas 6, Hillsborough 4, Manatee 5, Lee 1, Collier 1.</x:v>
      </x:c>
      <x:c r="E22" s="25" t="str">
        <x:v>“fish kills suspected to be related to red tide were reported … Pinellas, Hillsborough, Manatee, and Lee counties.”</x:v>
      </x:c>
      <x:c r="F22" s="25" t="str">
        <x:v>Yes—Pinellas County during the preceding week.</x:v>
      </x:c>
    </x:row>
    <x:row r="23" ht="110" customHeight="1">
      <x:c r="A23" s="28" t="d">
        <x:v>2023-05-01T00:00:00.000Z</x:v>
      </x:c>
      <x:c r="B23" s="30" t="str">
        <x:f>IFERROR(HYPERLINK("https://start1.org/red-tide-status/red-tide-status-report-may-26-2023/","2023-05-26 · FWC reproduction"),"2023-05-26 · FWC reproduction")</x:f>
        <x:v>2023-05-26 · FWC reproduction</x:v>
      </x:c>
      <x:c r="C23" s="23" t="str">
        <x:v>“Bloom concentrations (&gt;100,000 cells/liter) were not observed.”
The report still records K. brevis detections along the Gulf Coast.</x:v>
      </x:c>
      <x:c r="D23" s="23" t="str">
        <x:v>27 positive Gulf Coast samples. Southwest: Pinellas background (in/offshore); Manatee background (offshore); Sarasota background and very low (in/offshore); Charlotte background–low; Lee background–very low; Collier background (in/offshore); Monroe background (offshore). No samples above 100,000 cells/L.</x:v>
      </x:c>
      <x:c r="E23" s="23" t="str">
        <x:v>“Reports of fish kills suspected to be related to red tide were received … from Sarasota County.”</x:v>
      </x:c>
      <x:c r="F23" s="23" t="str">
        <x:v>Yes—Sarasota County, suspected to be red-tide-related, via the Beach Conditions Reporting System.</x:v>
      </x:c>
    </x:row>
  </x:sheetData>
  <x:pageMargins left="0.7" right="0.7" top="0.75" bottom="0.75" header="0.3" footer="0.3"/>
  <x:tableParts count="1">
    <x:tablePart xmlns:r="http://schemas.openxmlformats.org/officeDocument/2006/relationships" r:id="R98c3c6bf563b4c41"/>
  </x:tableParts>
</x:worksheet>
</file>

<file path=xl/worksheets/sheet2.xml><?xml version="1.0" encoding="utf-8"?>
<x:worksheet xmlns:x="http://schemas.openxmlformats.org/spreadsheetml/2006/main">
  <x:sheetPr>
    <x:tabColor rgb="FF708B9A"/>
  </x:sheetPr>
  <x:sheetViews>
    <x:sheetView showGridLines="0" workbookViewId="0">
      <x:pane ySplit="6" topLeftCell="A7" activePane="bottomLeft" state="frozen"/>
    </x:sheetView>
  </x:sheetViews>
  <x:sheetFormatPr defaultRowHeight="15"/>
  <x:cols>
    <x:col min="1" max="1" width="10.220000267028809" hidden="0" customWidth="1"/>
    <x:col min="2" max="2" width="28.889999389648438" hidden="0" customWidth="1"/>
    <x:col min="3" max="3" width="36.66999816894531" hidden="0" customWidth="1"/>
    <x:col min="4" max="4" width="80" hidden="0" customWidth="1"/>
  </x:cols>
  <x:sheetData>
    <x:row r="1" ht="12" customHeight="1">
      <x:c r="A1" s="1"/>
      <x:c r="B1" s="1"/>
      <x:c r="C1" s="1"/>
      <x:c r="D1" s="1"/>
    </x:row>
    <x:row r="2" ht="27" customHeight="1">
      <x:c r="A2" s="2" t="str">
        <x:v>Sources, dates and interpretation notes</x:v>
      </x:c>
      <x:c r="B2" s="1"/>
      <x:c r="C2" s="1"/>
      <x:c r="D2" s="1"/>
    </x:row>
    <x:row r="3" ht="22" customHeight="1">
      <x:c r="A3" s="3" t="str">
        <x:v>Primary bulletins, credited reproductions, supplemental observations and the April 2013 evidence gap.</x:v>
      </x:c>
      <x:c r="B3" s="1"/>
      <x:c r="C3" s="1"/>
      <x:c r="D3" s="1"/>
    </x:row>
    <x:row r="4" ht="22" customHeight="1">
      <x:c r="A4" s="4" t="str">
        <x:v>Use the report date shown in each row; a later posting or upload date is not the observation month.</x:v>
      </x:c>
      <x:c r="B4" s="1"/>
      <x:c r="C4" s="1"/>
      <x:c r="D4" s="1"/>
    </x:row>
    <x:row r="5" ht="8" customHeight="1">
      <x:c r="A5" s="5"/>
      <x:c r="B5" s="5"/>
      <x:c r="C5" s="5"/>
      <x:c r="D5" s="5"/>
    </x:row>
    <x:row r="6" ht="44" customHeight="1">
      <x:c r="A6" s="17" t="str">
        <x:v>Month</x:v>
      </x:c>
      <x:c r="B6" s="18" t="str">
        <x:v>Source / note type</x:v>
      </x:c>
      <x:c r="C6" s="18" t="str">
        <x:v>Source link or label</x:v>
      </x:c>
      <x:c r="D6" s="19" t="str">
        <x:v>Detail</x:v>
      </x:c>
    </x:row>
    <x:row r="7" ht="76" customHeight="1">
      <x:c r="A7" s="36" t="str">
        <x:v>2012-03</x:v>
      </x:c>
      <x:c r="B7" s="23" t="str">
        <x:v>FWRI report reproduced by START</x:v>
      </x:c>
      <x:c r="C7" s="30" t="str">
        <x:f>IFERROR(HYPERLINK("https://start1.org/red-tide-status/03-23-12/","2012-03-23 · FWC/FWRI reproduction"),"2012-03-23 · FWC/FWRI reproduction")</x:f>
        <x:v>2012-03-23 · FWC/FWRI reproduction</x:v>
      </x:c>
      <x:c r="D7" s="23" t="str">
        <x:v>The reproduction attributes these observations to FWRI as of March 23. This is a weekly snapshot, not evidence that all March was bloom-free. No fish-kill or respiratory-irritation statement appears in this reproduction.</x:v>
      </x:c>
    </x:row>
    <x:row r="8" ht="76" customHeight="1">
      <x:c r="A8" s="37" t="str">
        <x:v>2013-03</x:v>
      </x:c>
      <x:c r="B8" s="25" t="str">
        <x:v>FWC report reproduced by Fly Life Magazine</x:v>
      </x:c>
      <x:c r="C8" s="31" t="str">
        <x:f>IFERROR(HYPERLINK("https://flylifemagazine.com/environment-red-tide-persists-along-sw-coast-of-florida/","2013-03-11 · FWC report reproduction"),"2013-03-11 · FWC report reproduction")</x:f>
        <x:v>2013-03-11 · FWC report reproduction</x:v>
      </x:c>
      <x:c r="D8" s="25" t="str">
        <x:v>The page labels its text ‘An FWC report March 11, 2013’ and was posted March 12. The opening decorative drop-cap is excluded from the quotation. Original FWC-hosted narrative not recovered.</x:v>
      </x:c>
    </x:row>
    <x:row r="9" ht="76" customHeight="1">
      <x:c r="A9" s="38" t="str">
        <x:v>2013-04</x:v>
      </x:c>
      <x:c r="B9" s="34" t="str">
        <x:v>Official FWC monthly map page; narrative not recovered</x:v>
      </x:c>
      <x:c r="C9" s="33" t="str">
        <x:f>IFERROR(HYPERLINK("https://www.flickr.com/photos/myfwc/9678637547/","FWC April 2013 map · narrative unavailable"),"FWC April 2013 map · narrative unavailable")</x:f>
        <x:v>FWC April 2013 map · narrative unavailable</x:v>
      </x:c>
      <x:c r="D9" s="34" t="str">
        <x:v>Evidence gap, not a finding of no bloom or no impacts. The map is titled April 2013; Flickr's September 5, 2013 upload/taken dates are not the observation month. Do not use this row as a negative observation.</x:v>
      </x:c>
    </x:row>
    <x:row r="10" ht="76" customHeight="1">
      <x:c r="A10" s="37" t="str">
        <x:v>2013-10</x:v>
      </x:c>
      <x:c r="B10" s="25" t="str">
        <x:v>FWRI report reproduced by START</x:v>
      </x:c>
      <x:c r="C10" s="31" t="str">
        <x:f>IFERROR(HYPERLINK("https://start1.org/red-tide-status/red-tide-update-october-11-2013/","2013-10-11 · FWC/FWRI reproduction"),"2013-10-11 · FWC/FWRI reproduction")</x:f>
        <x:v>2013-10-11 · FWC/FWRI reproduction</x:v>
      </x:c>
      <x:c r="D10" s="25" t="str">
        <x:v>Report date October 11; posting date October 18. The Southwest Florida passage describes K. brevis detections, not an explicit bloom. The separate Indian River Lagoon passage concerns Pyrodinium, Aureoumbra and Pseudo-nitzschia and must not be treated as West Florida Shelf K. brevis evidence.</x:v>
      </x:c>
    </x:row>
    <x:row r="11" ht="76" customHeight="1">
      <x:c r="A11" s="36" t="str">
        <x:v>2016-03</x:v>
      </x:c>
      <x:c r="B11" s="23" t="str">
        <x:v>Direct FWC GovDelivery bulletin</x:v>
      </x:c>
      <x:c r="C11" s="30" t="str">
        <x:f>IFERROR(HYPERLINK("https://content.govdelivery.com/accounts/FLFFWCC/bulletins/13c52be","2016-03-11 · FWC bulletin"),"2016-03-11 · FWC bulletin")</x:f>
        <x:v>2016-03-11 · FWC bulletin</x:v>
      </x:c>
      <x:c r="D11" s="23" t="str">
        <x:v>The fish-kill sentence reports observations but does not explicitly establish red tide as their cause. This bulletin does not call the Southwest Florida detections a bloom.</x:v>
      </x:c>
    </x:row>
    <x:row r="12" ht="76" customHeight="1">
      <x:c r="A12" s="37" t="str">
        <x:v>2016-04</x:v>
      </x:c>
      <x:c r="B12" s="25" t="str">
        <x:v>Direct FWC bulletin; concentrations from same-date START reproduction</x:v>
      </x:c>
      <x:c r="C12" s="31" t="str">
        <x:f>IFERROR(HYPERLINK("https://content.govdelivery.com/accounts/FLFFWCC/bulletins/1465a5f","2016-04-29 · FWC bulletin"),"2016-04-29 · FWC bulletin")</x:f>
        <x:v>2016-04-29 · FWC bulletin</x:v>
      </x:c>
      <x:c r="D12" s="25" t="str">
        <x:v>The direct bulletin supplies the bloom and fish-kill wording but omits the detailed Southwest Florida concentration paragraph. That paragraph is in START's reproduction of the same April 29 report (posted May 9). FWC's bloom wording is retained although the listed April 29 categories peak at low.</x:v>
      </x:c>
    </x:row>
    <x:row r="13" ht="76" customHeight="1">
      <x:c r="A13" s="36" t="str">
        <x:v>2016-04</x:v>
      </x:c>
      <x:c r="B13" s="23" t="str">
        <x:v>Supplemental dated source</x:v>
      </x:c>
      <x:c r="C13" s="30" t="str">
        <x:f>IFERROR(HYPERLINK("https://start1.org/red-tide-status/red-tide-status-report-april-29-2016/","2016-04-29 · concentration details"),"2016-04-29 · concentration details")</x:f>
        <x:v>2016-04-29 · concentration details</x:v>
      </x:c>
      <x:c r="D13" s="23" t="str">
        <x:v>Same-date reproduction supplies the county concentration ranges in the main table.</x:v>
      </x:c>
    </x:row>
    <x:row r="14" ht="76" customHeight="1">
      <x:c r="A14" s="37" t="str">
        <x:v>2016-04</x:v>
      </x:c>
      <x:c r="B14" s="25" t="str">
        <x:v>Supplemental dated source</x:v>
      </x:c>
      <x:c r="C14" s="31" t="str">
        <x:f>IFERROR(HYPERLINK("https://start1.org/red-tide-status/red-tide-status-report-april-1-2016/","2016-04-01 · earlier conditions"),"2016-04-01 · earlier conditions")</x:f>
        <x:v>2016-04-01 · earlier conditions</x:v>
      </x:c>
      <x:c r="D14" s="25" t="str">
        <x:v>Earlier in April, the April 1 FWC reproduction described a patchy bloom and concentrations reaching medium in Pinellas and Lee. The main row uses April 29, so its categories are not the month's maxima.</x:v>
      </x:c>
    </x:row>
    <x:row r="15" ht="76" customHeight="1">
      <x:c r="A15" s="36" t="str">
        <x:v>2017-01</x:v>
      </x:c>
      <x:c r="B15" s="23" t="str">
        <x:v>Direct FWC GovDelivery bulletin</x:v>
      </x:c>
      <x:c r="C15" s="30" t="str">
        <x:f>IFERROR(HYPERLINK("https://content.govdelivery.com/accounts/FLFFWCC/bulletins/181cb1c?reqfrom=share","2017-01-20 · FWC bulletin"),"2017-01-20 · FWC bulletin")</x:f>
        <x:v>2017-01-20 · FWC bulletin</x:v>
      </x:c>
      <x:c r="D15" s="23" t="str">
        <x:v>Bulletin title and dispatch date agree. County ranges and sample counts describe the preceding week, not all January.</x:v>
      </x:c>
    </x:row>
    <x:row r="16" ht="76" customHeight="1">
      <x:c r="A16" s="37" t="str">
        <x:v>2017-02</x:v>
      </x:c>
      <x:c r="B16" s="25" t="str">
        <x:v>Direct FWC bulletin with title/dispatch date mismatch</x:v>
      </x:c>
      <x:c r="C16" s="31" t="str">
        <x:f>IFERROR(HYPERLINK("https://content.govdelivery.com/accounts/FLFFWCC/bulletins/18681fd?reqfrom=share","Sent 2017-02-10 · title says 2.7.17"),"Sent 2017-02-10 · title says 2.7.17")</x:f>
        <x:v>Sent 2017-02-10 · title says 2.7.17</x:v>
      </x:c>
      <x:c r="D16" s="25" t="str">
        <x:v>The archive title is Red Tide Report 2.7.17, but the dispatch timestamp is February 10, 2017. Both are preserved rather than silently correcting the title.</x:v>
      </x:c>
    </x:row>
    <x:row r="17" ht="76" customHeight="1">
      <x:c r="A17" s="36" t="str">
        <x:v>2017-03</x:v>
      </x:c>
      <x:c r="B17" s="23" t="str">
        <x:v>Direct FWC GovDelivery bulletin</x:v>
      </x:c>
      <x:c r="C17" s="30" t="str">
        <x:f>IFERROR(HYPERLINK("https://content.govdelivery.com/accounts/FLFFWCC/bulletins/18c8f3e","2017-03-10 · FWC bulletin"),"2017-03-10 · FWC bulletin")</x:f>
        <x:v>2017-03-10 · FWC bulletin</x:v>
      </x:c>
      <x:c r="D17" s="23" t="str">
        <x:v>The bulletin labels Manasota Beach as Charlotte County; the respiratory cell retains the named beach without adding a geographic correction. March 10 was selected because it contains explicit impact observations. It is not a whole-month total.</x:v>
      </x:c>
    </x:row>
    <x:row r="18" ht="76" customHeight="1">
      <x:c r="A18" s="37" t="str">
        <x:v>2017-04</x:v>
      </x:c>
      <x:c r="B18" s="25" t="str">
        <x:v>FWC report reproduced by START; April 7 supplement from SFWMD</x:v>
      </x:c>
      <x:c r="C18" s="31" t="str">
        <x:f>IFERROR(HYPERLINK("https://start1.org/red-tide-status/red-tide-status-report-april-21-2017/","2017-04-21 · FWC reproduction"),"2017-04-21 · FWC reproduction")</x:f>
        <x:v>2017-04-21 · FWC reproduction</x:v>
      </x:c>
      <x:c r="D18" s="25" t="str">
        <x:v>Two explicitly dated snapshots show within-month change. April 21 report posted April 27. The supplemental fish quotation is verbatim SFWMD wording about FWC findings, not a recovered original FWC sentence. See page 23 (PDF page index 22) of the April 11 SFWMD report.</x:v>
      </x:c>
    </x:row>
    <x:row r="19" ht="76" customHeight="1">
      <x:c r="A19" s="36" t="str">
        <x:v>2017-04</x:v>
      </x:c>
      <x:c r="B19" s="23" t="str">
        <x:v>Supplemental dated source</x:v>
      </x:c>
      <x:c r="C19" s="30" t="str">
        <x:f>IFERROR(HYPERLINK("https://www.sfwmd.gov/sites/default/files/documents/wkly_env_conditions_ops_report_revised_2017_04_11.pdf","2017-04-07 FWC findings · SFWMD p.23"),"2017-04-07 FWC findings · SFWMD p.23")</x:f>
        <x:v>2017-04-07 FWC findings · SFWMD p.23</x:v>
      </x:c>
      <x:c r="D19" s="23" t="str">
        <x:v>SFWMD's April 11 report summarizes April 7 FWC findings: Lee County background–low concentrations, Bonita Beach fish kills and Bowman’s Beach respiratory irritation.</x:v>
      </x:c>
    </x:row>
    <x:row r="20" ht="76" customHeight="1">
      <x:c r="A20" s="37" t="str">
        <x:v>2018-02</x:v>
      </x:c>
      <x:c r="B20" s="25" t="str">
        <x:v>Direct FWC GovDelivery bulletin</x:v>
      </x:c>
      <x:c r="C20" s="31" t="str">
        <x:f>IFERROR(HYPERLINK("https://content.govdelivery.com/accounts/FLFFWCC/bulletins/1de8d03","2018-02-28 · FWC midweek update"),"2018-02-28 · FWC midweek update")</x:f>
        <x:v>2018-02-28 · FWC midweek update</x:v>
      </x:c>
      <x:c r="D20" s="25" t="str">
        <x:v>More than 20 is the number of received reports for Lee, not a count of dead fish. Monroe appears in the fish-kill reports, not in this bulletin's positive Southwest Florida concentration list.</x:v>
      </x:c>
    </x:row>
    <x:row r="21" ht="76" customHeight="1">
      <x:c r="A21" s="36" t="str">
        <x:v>2018-03</x:v>
      </x:c>
      <x:c r="B21" s="23" t="str">
        <x:v>Direct FWC GovDelivery bulletin</x:v>
      </x:c>
      <x:c r="C21" s="30" t="str">
        <x:f>IFERROR(HYPERLINK("https://content.govdelivery.com/accounts/FLFFWCC/bulletins/1e59281","2018-03-28 · FWC midweek update"),"2018-03-28 · FWC midweek update")</x:f>
        <x:v>2018-03-28 · FWC midweek update</x:v>
      </x:c>
      <x:c r="D21" s="23" t="str">
        <x:v>The reporting interval spans the preceding week. Dates differ by beach; consult the linked bulletin for each observation date. Separate Bay County observations are outside the Southwest Florida scope.</x:v>
      </x:c>
    </x:row>
    <x:row r="22" ht="76" customHeight="1">
      <x:c r="A22" s="37" t="str">
        <x:v>2018-04</x:v>
      </x:c>
      <x:c r="B22" s="25" t="str">
        <x:v>Direct FWC GovDelivery bulletin</x:v>
      </x:c>
      <x:c r="C22" s="31" t="str">
        <x:f>IFERROR(HYPERLINK("https://content.govdelivery.com/accounts/FLFFWCC/bulletins/1eca7bf","2018-04-27 · FWC bulletin"),"2018-04-27 · FWC bulletin")</x:f>
        <x:v>2018-04-27 · FWC bulletin</x:v>
      </x:c>
      <x:c r="D22" s="25" t="str">
        <x:v>The bloom-characterization sentence is reproduced in full, as requested in the user's example. Positive samples include coastal and offshore locations; this does not establish uniform conditions across the shelf.</x:v>
      </x:c>
    </x:row>
    <x:row r="23" ht="76" customHeight="1">
      <x:c r="A23" s="36" t="str">
        <x:v>2018-05</x:v>
      </x:c>
      <x:c r="B23" s="23" t="str">
        <x:v>Direct FWC GovDelivery bulletin</x:v>
      </x:c>
      <x:c r="C23" s="30" t="str">
        <x:f>IFERROR(HYPERLINK("https://content.govdelivery.com/accounts/FLFFWCC/bulletins/1f2b53e","2018-05-25 · FWC bulletin"),"2018-05-25 · FWC bulletin")</x:f>
        <x:v>2018-05-25 · FWC bulletin</x:v>
      </x:c>
      <x:c r="D23" s="23" t="str">
        <x:v>Medium concentrations remained in Lee in the selected late-May report. This row does not describe all observations during May.</x:v>
      </x:c>
    </x:row>
    <x:row r="24" ht="76" customHeight="1">
      <x:c r="A24" s="37" t="str">
        <x:v>2019-02</x:v>
      </x:c>
      <x:c r="B24" s="25" t="str">
        <x:v>FWC report reproduced by START</x:v>
      </x:c>
      <x:c r="C24" s="31" t="str">
        <x:f>IFERROR(HYPERLINK("https://start1.org/red-tide-status/red-tide-status-report-february-22-2019/","2019-02-22 · FWC reproduction"),"2019-02-22 · FWC reproduction")</x:f>
        <x:v>2019-02-22 · FWC reproduction</x:v>
      </x:c>
      <x:c r="D24" s="25" t="str">
        <x:v>Report date February 22; posting date March 4. Fish kills and irritation are reported despite no detected K. brevis in that week's samples. These reports do not establish red tide causation or prove a contemporaneous bloom. This snapshot should not characterize all February.</x:v>
      </x:c>
    </x:row>
    <x:row r="25" ht="76" customHeight="1">
      <x:c r="A25" s="36" t="str">
        <x:v>2021-06</x:v>
      </x:c>
      <x:c r="B25" s="23" t="str">
        <x:v>Direct FWC GovDelivery bulletin</x:v>
      </x:c>
      <x:c r="C25" s="30" t="str">
        <x:f>IFERROR(HYPERLINK("https://content.govdelivery.com/accounts/FLFFWCC/bulletins/2e3a896","2021-06-11 · FWC bulletin"),"2021-06-11 · FWC bulletin")</x:f>
        <x:v>2021-06-11 · FWC bulletin</x:v>
      </x:c>
      <x:c r="D25" s="23" t="str">
        <x:v>The bulletin explicitly defines bloom concentrations as greater than 100,000 cells/L. The suspected causal qualification for fish kills is retained.</x:v>
      </x:c>
    </x:row>
    <x:row r="26" ht="76" customHeight="1">
      <x:c r="A26" s="37" t="str">
        <x:v>2023-05</x:v>
      </x:c>
      <x:c r="B26" s="25" t="str">
        <x:v>FWC report reproduced by START</x:v>
      </x:c>
      <x:c r="C26" s="31" t="str">
        <x:f>IFERROR(HYPERLINK("https://start1.org/red-tide-status/red-tide-status-report-may-26-2023/","2023-05-26 · FWC reproduction"),"2023-05-26 · FWC reproduction")</x:f>
        <x:v>2023-05-26 · FWC reproduction</x:v>
      </x:c>
      <x:c r="D26" s="25" t="str">
        <x:v>Report date May 26; posting date June 1. The absence of bloom-level samples in this late-May snapshot is not a finding for the whole month. Suspected impacts are preserved as reports, not confirmed causal diagnoses.</x:v>
      </x:c>
    </x:row>
    <x:row r="27" ht="76" customHeight="1">
      <x:c r="A27" s="36" t="str">
        <x:v>All months</x:v>
      </x:c>
      <x:c r="B27" s="23" t="str">
        <x:v>Coverage</x:v>
      </x:c>
      <x:c r="C27" s="23" t="str">
        <x:v>Method</x:v>
      </x:c>
      <x:c r="D27" s="23" t="str">
        <x:v>One accessible dated narrative report was selected for each month where one could be recovered. April 2017 includes a second dated observation to show within-month change. Selection was based on recoverability and usable detail, not a systematic monthly maximum, monthly mean, or fixed day of month.</x:v>
      </x:c>
    </x:row>
    <x:row r="28" ht="76" customHeight="1">
      <x:c r="A28" s="37" t="str">
        <x:v>All months</x:v>
      </x:c>
      <x:c r="B28" s="25" t="str">
        <x:v>Quotation convention</x:v>
      </x:c>
      <x:c r="C28" s="25" t="str">
        <x:v>Method</x:v>
      </x:c>
      <x:c r="D28" s="25" t="str">
        <x:v>Quoted passages preserve the retrieved wording, with typographic whitespace normalized. Ellipses mark omitted words. These are short verbatim excerpts, not full paragraphs. Summaries are outside quotation marks. The April 2017 supplemental fish quotation is explicitly attributed to SFWMD.</x:v>
      </x:c>
    </x:row>
    <x:row r="29" ht="76" customHeight="1">
      <x:c r="A29" s="36" t="str">
        <x:v>All months</x:v>
      </x:c>
      <x:c r="B29" s="23" t="str">
        <x:v>Missing-data convention</x:v>
      </x:c>
      <x:c r="C29" s="23" t="str">
        <x:v>Method</x:v>
      </x:c>
      <x:c r="D29" s="23" t="str">
        <x:v>Not stated means the retrieved bulletin or reproduction omits the topic. Not verified means the required narrative was not retrieved. Neither means no events occurred. An explicit negative statement applies only to the report’s specified sampling or reporting interval.</x:v>
      </x:c>
    </x:row>
    <x:row r="30" ht="76" customHeight="1">
      <x:c r="A30" s="37" t="str">
        <x:v>All months</x:v>
      </x:c>
      <x:c r="B30" s="25" t="str">
        <x:v>Geographic scope</x:v>
      </x:c>
      <x:c r="C30" s="25" t="str">
        <x:v>Method</x:v>
      </x:c>
      <x:c r="D30" s="25" t="str">
        <x:v>The table follows FWC’s Southwest Florida reporting geography, including Pinellas/Hillsborough south toward Monroe where reported. Coastal, estuarine and offshore locations are distinguished when the source does so. The evidence does not establish uniform conditions over the entire West Florida Shelf.</x:v>
      </x:c>
    </x:row>
    <x:row r="31" ht="110" customHeight="1">
      <x:c r="A31" s="36" t="str">
        <x:v>All months</x:v>
      </x:c>
      <x:c r="B31" s="23" t="str">
        <x:v>Concentration interpretation</x:v>
      </x:c>
      <x:c r="C31" s="30" t="str">
        <x:f>IFERROR(HYPERLINK("https://myfwc.com/research/redtide/statewide/","FWC concentration key"),"FWC concentration key")</x:f>
        <x:v>FWC concentration key</x:v>
      </x:c>
      <x:c r="D31" s="23" t="str">
        <x:v>Categories in the main table are reported ranges, not measured maxima for the whole month. Counts in parentheses are numbers of samples associated with those ranges, not numbers of bloom-level samples unless explicitly stated.
Background: ≤1,000 cells/L; very low: &gt;1,000–10,000; low: &gt;10,000–100,000; medium: &gt;100,000–1,000,000; high: &gt;1,000,000.</x:v>
      </x:c>
    </x:row>
    <x:row r="32" ht="76" customHeight="1">
      <x:c r="A32" s="37" t="str">
        <x:v>All months</x:v>
      </x:c>
      <x:c r="B32" s="25" t="str">
        <x:v>Bloom terminology</x:v>
      </x:c>
      <x:c r="C32" s="25" t="str">
        <x:v>Method</x:v>
      </x:c>
      <x:c r="D32" s="25" t="str">
        <x:v>FWC’s historical narrative wording is retained. Some older reports call the event a bloom even when that week’s listed concentrations peak at low. The June 2021 and May 2023 reports explicitly use &gt;100,000 cells/L as their bloom-concentration criterion. Do not infer a bloom merely from a background detection.</x:v>
      </x:c>
    </x:row>
    <x:row r="33" ht="76" customHeight="1">
      <x:c r="A33" s="36" t="str">
        <x:v>All months</x:v>
      </x:c>
      <x:c r="B33" s="23" t="str">
        <x:v>Impact interpretation</x:v>
      </x:c>
      <x:c r="C33" s="23" t="str">
        <x:v>Method</x:v>
      </x:c>
      <x:c r="D33" s="23" t="str">
        <x:v>Fish kills and respiratory irritation are reports received or observations described by the source. Their presence alongside K. brevis samples does not alone prove causation. The source’s explicit suspected-to-be-related qualification is preserved. A count of received reports is not a count of dead fish.</x:v>
      </x:c>
    </x:row>
    <x:row r="34" ht="76" customHeight="1">
      <x:c r="A34" s="37" t="str">
        <x:v>All months</x:v>
      </x:c>
      <x:c r="B34" s="25" t="str">
        <x:v>Research date</x:v>
      </x:c>
      <x:c r="C34" s="25" t="str">
        <x:v>2026-10-15</x:v>
      </x:c>
      <x:c r="D34" s="25" t="str">
        <x:v>Sources checked October 15, 2026. Sixteen months have a retrieved narrative or credited reproduction; April 2013 remains a narrative-evidence gap. No concentration values were inferred from an inaccessible map image.</x:v>
      </x:c>
    </x:row>
  </x:sheetData>
  <x:pageMargins left="0.7" right="0.7" top="0.75" bottom="0.75" header="0.3" footer="0.3"/>
</x:worksheet>
</file>